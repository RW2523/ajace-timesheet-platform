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imeSheet\"/>
    </mc:Choice>
  </mc:AlternateContent>
  <xr:revisionPtr revIDLastSave="0" documentId="13_ncr:1_{83254A39-C03E-4F61-8473-38D834F51D17}" xr6:coauthVersionLast="47" xr6:coauthVersionMax="47" xr10:uidLastSave="{00000000-0000-0000-0000-000000000000}"/>
  <bookViews>
    <workbookView xWindow="-110" yWindow="-110" windowWidth="19420" windowHeight="10300" tabRatio="684" xr2:uid="{00000000-000D-0000-FFFF-FFFF00000000}"/>
  </bookViews>
  <sheets>
    <sheet name="Totals" sheetId="6" r:id="rId1"/>
    <sheet name="WE 05-03" sheetId="12" r:id="rId2"/>
    <sheet name="WE 05-10" sheetId="9" r:id="rId3"/>
    <sheet name="WE 05-17" sheetId="2" r:id="rId4"/>
    <sheet name="WE 05-24" sheetId="14" r:id="rId5"/>
    <sheet name="WE 05-31" sheetId="13" r:id="rId6"/>
  </sheets>
  <definedNames>
    <definedName name="_xlnm.Print_Area" localSheetId="1">'WE 05-03'!$A$1:$J$25</definedName>
    <definedName name="_xlnm.Print_Area" localSheetId="2">'WE 05-10'!$A$1:$J$25</definedName>
    <definedName name="_xlnm.Print_Area" localSheetId="3">'WE 05-17'!$A$1:$J$25</definedName>
    <definedName name="_xlnm.Print_Area" localSheetId="4">'WE 05-24'!$A$1:$J$25</definedName>
    <definedName name="_xlnm.Print_Area" localSheetId="5">'WE 05-31'!$A$1:$J$25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3" l="1"/>
  <c r="G15" i="12"/>
  <c r="G14" i="13"/>
  <c r="G13" i="13"/>
  <c r="B5" i="6"/>
  <c r="I18" i="14"/>
  <c r="H18" i="14"/>
  <c r="G17" i="14"/>
  <c r="J17" i="14" s="1"/>
  <c r="G16" i="14"/>
  <c r="J16" i="14" s="1"/>
  <c r="G15" i="14"/>
  <c r="J15" i="14" s="1"/>
  <c r="J14" i="14"/>
  <c r="G14" i="14"/>
  <c r="G13" i="14"/>
  <c r="J13" i="14" s="1"/>
  <c r="G12" i="14"/>
  <c r="J12" i="14" s="1"/>
  <c r="C12" i="14"/>
  <c r="C13" i="14" s="1"/>
  <c r="C14" i="14" s="1"/>
  <c r="C15" i="14" s="1"/>
  <c r="C16" i="14" s="1"/>
  <c r="C17" i="14" s="1"/>
  <c r="I4" i="14" s="1"/>
  <c r="G11" i="14"/>
  <c r="G18" i="14" s="1"/>
  <c r="J14" i="12"/>
  <c r="J13" i="12"/>
  <c r="J14" i="13"/>
  <c r="J15" i="12"/>
  <c r="I18" i="13"/>
  <c r="H18" i="13"/>
  <c r="G17" i="13"/>
  <c r="J17" i="13" s="1"/>
  <c r="G16" i="13"/>
  <c r="J16" i="13" s="1"/>
  <c r="J15" i="13"/>
  <c r="J13" i="13"/>
  <c r="J12" i="13"/>
  <c r="G12" i="13"/>
  <c r="C12" i="13"/>
  <c r="C13" i="13" s="1"/>
  <c r="C14" i="13" s="1"/>
  <c r="C15" i="13" s="1"/>
  <c r="C16" i="13" s="1"/>
  <c r="C17" i="13" s="1"/>
  <c r="I4" i="13" s="1"/>
  <c r="B4" i="6"/>
  <c r="B3" i="6"/>
  <c r="I18" i="12"/>
  <c r="H18" i="12"/>
  <c r="J17" i="12"/>
  <c r="J16" i="12"/>
  <c r="C12" i="12"/>
  <c r="C13" i="12" s="1"/>
  <c r="C14" i="12" s="1"/>
  <c r="C15" i="12" s="1"/>
  <c r="C16" i="12" s="1"/>
  <c r="C17" i="12" s="1"/>
  <c r="I4" i="12" s="1"/>
  <c r="J11" i="12"/>
  <c r="J11" i="14" l="1"/>
  <c r="J18" i="14" s="1"/>
  <c r="G18" i="12"/>
  <c r="B2" i="6" s="1"/>
  <c r="G18" i="13"/>
  <c r="B6" i="6" s="1"/>
  <c r="J11" i="13"/>
  <c r="J18" i="13" s="1"/>
  <c r="J12" i="12"/>
  <c r="J18" i="12" s="1"/>
  <c r="G15" i="9"/>
  <c r="J15" i="9" s="1"/>
  <c r="G15" i="2"/>
  <c r="G14" i="2"/>
  <c r="G13" i="2"/>
  <c r="G12" i="2"/>
  <c r="G11" i="2"/>
  <c r="G14" i="9"/>
  <c r="G13" i="9"/>
  <c r="G12" i="9"/>
  <c r="J12" i="9" s="1"/>
  <c r="G11" i="9"/>
  <c r="J14" i="9"/>
  <c r="C12" i="9"/>
  <c r="C13" i="9" s="1"/>
  <c r="C14" i="9" s="1"/>
  <c r="C15" i="9" s="1"/>
  <c r="C16" i="9" s="1"/>
  <c r="C17" i="9" s="1"/>
  <c r="I4" i="9" s="1"/>
  <c r="J13" i="9"/>
  <c r="J17" i="9"/>
  <c r="J16" i="9"/>
  <c r="A3" i="6"/>
  <c r="A4" i="6" s="1"/>
  <c r="A5" i="6" s="1"/>
  <c r="A6" i="6" s="1"/>
  <c r="I18" i="9"/>
  <c r="H18" i="9"/>
  <c r="B7" i="6" l="1"/>
  <c r="G18" i="9"/>
  <c r="J11" i="9"/>
  <c r="J18" i="9" s="1"/>
  <c r="J13" i="2"/>
  <c r="J12" i="2"/>
  <c r="J15" i="2"/>
  <c r="J14" i="2"/>
  <c r="C12" i="2"/>
  <c r="C13" i="2" s="1"/>
  <c r="C14" i="2" s="1"/>
  <c r="C15" i="2" s="1"/>
  <c r="C16" i="2" s="1"/>
  <c r="C17" i="2" s="1"/>
  <c r="J16" i="2"/>
  <c r="I18" i="2"/>
  <c r="H18" i="2"/>
  <c r="J17" i="2"/>
  <c r="I4" i="2" l="1"/>
  <c r="G18" i="2"/>
  <c r="J11" i="2"/>
  <c r="J18" i="2" s="1"/>
</calcChain>
</file>

<file path=xl/sharedStrings.xml><?xml version="1.0" encoding="utf-8"?>
<sst xmlns="http://schemas.openxmlformats.org/spreadsheetml/2006/main" count="167" uniqueCount="33">
  <si>
    <t>Weekly Time Record</t>
  </si>
  <si>
    <t>14159A Robert Paris Court</t>
  </si>
  <si>
    <t>Week Ending</t>
  </si>
  <si>
    <t>Chantilly, VA 20151</t>
  </si>
  <si>
    <t>Phone:</t>
  </si>
  <si>
    <t>703-232-1567</t>
  </si>
  <si>
    <t>Timesheets@ajace.com</t>
  </si>
  <si>
    <t>Day</t>
  </si>
  <si>
    <t>Date</t>
  </si>
  <si>
    <t>In</t>
  </si>
  <si>
    <t>Out</t>
  </si>
  <si>
    <t>Time out (HH:MM)</t>
  </si>
  <si>
    <t>Regular (billable) Hrs.</t>
  </si>
  <si>
    <t>Sick Hrs. (nonbillable)</t>
  </si>
  <si>
    <t>Vacation Hrs. (nonbillable)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</si>
  <si>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</si>
  <si>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</si>
  <si>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</si>
  <si>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</si>
  <si>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</si>
  <si>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</si>
  <si>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</si>
  <si>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</si>
  <si>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</si>
  <si>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</si>
  <si>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Eric Morris</t>
  </si>
  <si>
    <t>Total Hours</t>
  </si>
  <si>
    <t>Month Total:</t>
  </si>
  <si>
    <t>Notes</t>
  </si>
  <si>
    <t>sw.saravanan@yahoo.com</t>
  </si>
  <si>
    <t>.</t>
  </si>
  <si>
    <t>Saravanan Swaminathan</t>
  </si>
  <si>
    <t>May 25th- Memorial Day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</si>
</sst>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&lt;=9999999]###\-####;\(###&quot;) &quot;###\-####"/>
    <numFmt numFmtId="165" formatCode="[$-409]h:mm\ AM/PM;@"/>
    <numFmt numFmtId="166" formatCode="_(\$* #,##0.00_);_(\$* \(#,##0.00\);_(\$* \-??_);_(@_)"/>
    <numFmt numFmtId="167" formatCode="\$#,##0.00_);&quot;($&quot;#,##0.00\)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  <font>
      <sz val="10"/>
      <color indexed="55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4.9989318521683403E-2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26"/>
        <bgColor indexed="42"/>
      </patternFill>
    </fill>
    <fill>
      <patternFill patternType="solid">
        <fgColor indexed="41"/>
        <bgColor indexed="27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theme="0" tint="-0.34998626667073579"/>
      </right>
      <top style="thin">
        <color indexed="55"/>
      </top>
      <bottom/>
      <diagonal/>
    </border>
    <border>
      <left style="thin">
        <color indexed="55"/>
      </left>
      <right style="thin">
        <color theme="0" tint="-0.34998626667073579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8" fillId="0" borderId="0" xfId="2" applyNumberFormat="1" applyFill="1" applyBorder="1" applyAlignment="1" applyProtection="1">
      <protection locked="0"/>
    </xf>
    <xf numFmtId="0" fontId="7" fillId="0" borderId="0" xfId="2" applyNumberFormat="1" applyFont="1" applyFill="1" applyBorder="1" applyAlignment="1" applyProtection="1">
      <protection locked="0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left" vertical="center"/>
      <protection locked="0"/>
    </xf>
    <xf numFmtId="14" fontId="7" fillId="0" borderId="2" xfId="0" applyNumberFormat="1" applyFont="1" applyBorder="1" applyAlignment="1" applyProtection="1">
      <alignment horizontal="left" vertical="center"/>
      <protection locked="0"/>
    </xf>
    <xf numFmtId="165" fontId="10" fillId="0" borderId="2" xfId="0" applyNumberFormat="1" applyFont="1" applyBorder="1" applyAlignment="1" applyProtection="1">
      <alignment horizontal="center" vertical="center"/>
      <protection locked="0"/>
    </xf>
    <xf numFmtId="20" fontId="10" fillId="0" borderId="5" xfId="0" applyNumberFormat="1" applyFont="1" applyBorder="1" applyAlignment="1" applyProtection="1">
      <alignment horizontal="center" vertical="center"/>
      <protection locked="0"/>
    </xf>
    <xf numFmtId="2" fontId="10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/>
      <protection locked="0"/>
    </xf>
    <xf numFmtId="2" fontId="7" fillId="0" borderId="6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2" fontId="7" fillId="0" borderId="7" xfId="0" applyNumberFormat="1" applyFont="1" applyBorder="1" applyAlignment="1" applyProtection="1">
      <alignment horizontal="center" vertical="center"/>
      <protection locked="0"/>
    </xf>
    <xf numFmtId="14" fontId="2" fillId="0" borderId="0" xfId="0" applyNumberFormat="1" applyFont="1" applyProtection="1">
      <protection locked="0"/>
    </xf>
    <xf numFmtId="2" fontId="2" fillId="0" borderId="0" xfId="0" applyNumberFormat="1" applyFont="1" applyAlignment="1" applyProtection="1">
      <alignment horizontal="left"/>
      <protection locked="0"/>
    </xf>
    <xf numFmtId="2" fontId="11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2" fontId="2" fillId="0" borderId="8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9" fillId="4" borderId="2" xfId="0" applyFont="1" applyFill="1" applyBorder="1" applyAlignment="1" applyProtection="1">
      <alignment horizontal="left" vertical="center"/>
      <protection locked="0"/>
    </xf>
    <xf numFmtId="167" fontId="10" fillId="5" borderId="2" xfId="1" applyNumberFormat="1" applyFont="1" applyFill="1" applyBorder="1" applyAlignment="1" applyProtection="1">
      <alignment horizontal="center" vertical="center"/>
      <protection locked="0"/>
    </xf>
    <xf numFmtId="167" fontId="10" fillId="6" borderId="2" xfId="1" applyNumberFormat="1" applyFont="1" applyFill="1" applyBorder="1" applyAlignment="1" applyProtection="1">
      <alignment horizontal="center" vertical="center"/>
      <protection locked="0"/>
    </xf>
    <xf numFmtId="0" fontId="0" fillId="4" borderId="8" xfId="0" applyFill="1" applyBorder="1" applyProtection="1">
      <protection locked="0"/>
    </xf>
    <xf numFmtId="167" fontId="10" fillId="7" borderId="2" xfId="1" applyNumberFormat="1" applyFont="1" applyFill="1" applyBorder="1" applyAlignment="1" applyProtection="1">
      <alignment horizontal="center" vertical="center"/>
    </xf>
    <xf numFmtId="2" fontId="10" fillId="7" borderId="2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12" fillId="0" borderId="0" xfId="0" applyFont="1" applyProtection="1"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43" fontId="2" fillId="0" borderId="0" xfId="3" applyFont="1" applyAlignment="1" applyProtection="1">
      <alignment vertical="top"/>
      <protection locked="0"/>
    </xf>
    <xf numFmtId="43" fontId="13" fillId="0" borderId="0" xfId="0" applyNumberFormat="1" applyFont="1" applyProtection="1">
      <protection locked="0"/>
    </xf>
    <xf numFmtId="16" fontId="2" fillId="0" borderId="0" xfId="0" applyNumberFormat="1" applyFont="1" applyProtection="1">
      <protection locked="0"/>
    </xf>
    <xf numFmtId="2" fontId="2" fillId="0" borderId="0" xfId="0" applyNumberFormat="1" applyFont="1" applyProtection="1">
      <protection locked="0"/>
    </xf>
    <xf numFmtId="2" fontId="2" fillId="0" borderId="0" xfId="0" applyNumberFormat="1" applyFont="1" applyAlignment="1" applyProtection="1">
      <alignment horizontal="left" vertical="top"/>
      <protection locked="0"/>
    </xf>
    <xf numFmtId="0" fontId="9" fillId="0" borderId="8" xfId="0" applyFont="1" applyBorder="1" applyAlignment="1" applyProtection="1">
      <alignment horizontal="left" vertical="center"/>
      <protection locked="0"/>
    </xf>
    <xf numFmtId="14" fontId="7" fillId="0" borderId="8" xfId="0" applyNumberFormat="1" applyFont="1" applyBorder="1" applyAlignment="1" applyProtection="1">
      <alignment horizontal="left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right" vertical="top"/>
      <protection locked="0"/>
    </xf>
    <xf numFmtId="14" fontId="2" fillId="0" borderId="0" xfId="0" applyNumberFormat="1" applyFont="1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  <xf numFmtId="0" fontId="14" fillId="0" borderId="11" xfId="0" applyFont="1" applyBorder="1"/>
    <xf numFmtId="16" fontId="0" fillId="0" borderId="11" xfId="0" applyNumberFormat="1" applyBorder="1"/>
    <xf numFmtId="2" fontId="0" fillId="0" borderId="11" xfId="0" applyNumberFormat="1" applyBorder="1"/>
    <xf numFmtId="0" fontId="0" fillId="0" borderId="12" xfId="0" applyBorder="1"/>
    <xf numFmtId="0" fontId="15" fillId="0" borderId="11" xfId="0" applyFont="1" applyBorder="1" applyAlignment="1">
      <alignment vertical="center"/>
    </xf>
    <xf numFmtId="2" fontId="14" fillId="0" borderId="12" xfId="0" applyNumberFormat="1" applyFont="1" applyBorder="1"/>
    <xf numFmtId="0" fontId="7" fillId="0" borderId="1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8" fillId="0" borderId="0" xfId="2" applyFill="1" applyBorder="1" applyAlignment="1" applyProtection="1">
      <alignment horizontal="left"/>
      <protection locked="0"/>
    </xf>
    <xf numFmtId="164" fontId="7" fillId="0" borderId="0" xfId="0" applyNumberFormat="1" applyFont="1" applyAlignment="1" applyProtection="1">
      <alignment horizontal="left"/>
      <protection locked="0"/>
    </xf>
    <xf numFmtId="0" fontId="8" fillId="0" borderId="0" xfId="2" applyNumberFormat="1" applyFill="1" applyBorder="1" applyAlignment="1" applyProtection="1">
      <alignment horizontal="left"/>
      <protection locked="0"/>
    </xf>
    <xf numFmtId="0" fontId="7" fillId="0" borderId="0" xfId="2" applyNumberFormat="1" applyFont="1" applyFill="1" applyBorder="1" applyAlignment="1" applyProtection="1">
      <alignment horizontal="left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829310</xdr:colOff>
      <xdr:row>1</xdr:row>
      <xdr:rowOff>26670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20E0C42-85F3-4D2C-A321-940228992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801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829310</xdr:colOff>
      <xdr:row>1</xdr:row>
      <xdr:rowOff>26670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20A70CA-152D-4560-8D5C-AE386A2E9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4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829310</xdr:colOff>
      <xdr:row>1</xdr:row>
      <xdr:rowOff>26670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2D24BFB-E78E-44CF-8951-C3422D72C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829310</xdr:colOff>
      <xdr:row>1</xdr:row>
      <xdr:rowOff>26670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5A70ECE-CA5E-4090-90CF-FBDF6D7E1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801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829310</xdr:colOff>
      <xdr:row>1</xdr:row>
      <xdr:rowOff>26670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3EACB74-A73B-4384-8F2E-E7DFCF957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801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w.saravanan@yahoo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w.saravanan@yahoo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sw.saravanan@yahoo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sw.saravanan@yahoo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sw.saravanan@yahoo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257F-18F0-44FC-B90A-CF935B280461}">
  <dimension ref="A1:C7"/>
  <sheetViews>
    <sheetView tabSelected="1" workbookViewId="0">
      <selection activeCell="C13" sqref="C13"/>
    </sheetView>
  </sheetViews>
  <sheetFormatPr defaultRowHeight="12.5" x14ac:dyDescent="0.25"/>
  <cols>
    <col min="1" max="1" width="12.1796875" bestFit="1" customWidth="1"/>
    <col min="2" max="2" width="10.81640625" bestFit="1" customWidth="1"/>
    <col min="3" max="3" width="27.36328125" customWidth="1"/>
  </cols>
  <sheetData>
    <row r="1" spans="1:3" ht="13" x14ac:dyDescent="0.3">
      <c r="A1" s="54" t="s">
        <v>2</v>
      </c>
      <c r="B1" s="54" t="s">
        <v>26</v>
      </c>
      <c r="C1" s="54" t="s">
        <v>28</v>
      </c>
    </row>
    <row r="2" spans="1:3" x14ac:dyDescent="0.25">
      <c r="A2" s="55">
        <v>46145</v>
      </c>
      <c r="B2" s="56">
        <f>'WE 05-03'!G18</f>
        <v>8</v>
      </c>
    </row>
    <row r="3" spans="1:3" ht="13" x14ac:dyDescent="0.25">
      <c r="A3" s="55">
        <f>A2+7</f>
        <v>46152</v>
      </c>
      <c r="B3" s="56">
        <f>'WE 05-10'!G18</f>
        <v>40</v>
      </c>
      <c r="C3" s="58"/>
    </row>
    <row r="4" spans="1:3" ht="13" x14ac:dyDescent="0.25">
      <c r="A4" s="55">
        <f>A3+7</f>
        <v>46159</v>
      </c>
      <c r="B4" s="56">
        <f>'WE 05-17'!G18</f>
        <v>40</v>
      </c>
      <c r="C4" s="58"/>
    </row>
    <row r="5" spans="1:3" ht="13" x14ac:dyDescent="0.25">
      <c r="A5" s="55">
        <f>A4+7</f>
        <v>46166</v>
      </c>
      <c r="B5" s="56">
        <f>'WE 05-24'!G18</f>
        <v>40</v>
      </c>
      <c r="C5" s="58"/>
    </row>
    <row r="6" spans="1:3" ht="13" x14ac:dyDescent="0.25">
      <c r="A6" s="55">
        <f>A5+7</f>
        <v>46173</v>
      </c>
      <c r="B6" s="56">
        <f>'WE 05-31'!G18</f>
        <v>32</v>
      </c>
      <c r="C6" s="58" t="s">
        <v>32</v>
      </c>
    </row>
    <row r="7" spans="1:3" ht="13" x14ac:dyDescent="0.3">
      <c r="A7" s="54" t="s">
        <v>27</v>
      </c>
      <c r="B7" s="59">
        <f>SUM(B2:B6)</f>
        <v>160</v>
      </c>
      <c r="C7" s="5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9E07-9917-42E9-BC06-87050188FBF4}">
  <sheetPr>
    <tabColor indexed="55"/>
    <pageSetUpPr fitToPage="1"/>
  </sheetPr>
  <dimension ref="B1:J25"/>
  <sheetViews>
    <sheetView showGridLines="0" showZeros="0" topLeftCell="A7" zoomScaleNormal="100" workbookViewId="0">
      <selection activeCell="J24" sqref="J24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2.54296875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6"/>
      <c r="C2" s="66"/>
      <c r="D2" s="66"/>
      <c r="E2" s="66"/>
      <c r="F2" s="3"/>
    </row>
    <row r="3" spans="2:10" ht="14.25" customHeight="1" x14ac:dyDescent="0.25"/>
    <row r="4" spans="2:10" ht="17.149999999999999" customHeight="1" x14ac:dyDescent="0.25">
      <c r="B4" s="67" t="s">
        <v>1</v>
      </c>
      <c r="C4" s="67"/>
      <c r="D4" s="67"/>
      <c r="E4" s="67"/>
      <c r="H4" s="4" t="s">
        <v>2</v>
      </c>
      <c r="I4" s="68">
        <f>C17</f>
        <v>46145</v>
      </c>
      <c r="J4" s="68"/>
    </row>
    <row r="5" spans="2:10" ht="17.149999999999999" customHeight="1" x14ac:dyDescent="0.25">
      <c r="B5" s="67" t="s">
        <v>3</v>
      </c>
      <c r="C5" s="67"/>
      <c r="D5" s="67"/>
      <c r="E5" s="67"/>
      <c r="H5" s="5"/>
      <c r="I5" s="6"/>
      <c r="J5" s="6"/>
    </row>
    <row r="6" spans="2:10" ht="17.149999999999999" customHeight="1" x14ac:dyDescent="0.25">
      <c r="B6" s="67"/>
      <c r="C6" s="67"/>
      <c r="D6" s="67"/>
      <c r="E6" s="67"/>
      <c r="H6" s="7"/>
      <c r="I6" s="61" t="s">
        <v>31</v>
      </c>
      <c r="J6" s="61"/>
    </row>
    <row r="7" spans="2:10" ht="17.149999999999999" customHeight="1" x14ac:dyDescent="0.25">
      <c r="B7" s="8" t="s">
        <v>4</v>
      </c>
      <c r="C7" s="8" t="s">
        <v>5</v>
      </c>
      <c r="D7" s="61"/>
      <c r="E7" s="61"/>
      <c r="H7" s="7"/>
      <c r="I7" s="62" t="s">
        <v>29</v>
      </c>
      <c r="J7" s="61"/>
    </row>
    <row r="8" spans="2:10" ht="17.149999999999999" customHeight="1" x14ac:dyDescent="0.25">
      <c r="B8" s="9" t="s">
        <v>6</v>
      </c>
      <c r="C8" s="10"/>
      <c r="D8" s="61"/>
      <c r="E8" s="61"/>
      <c r="H8" s="7"/>
      <c r="I8" s="63">
        <v>6673699753</v>
      </c>
      <c r="J8" s="63"/>
    </row>
    <row r="9" spans="2:10" ht="17.149999999999999" customHeight="1" x14ac:dyDescent="0.25">
      <c r="B9" s="8"/>
      <c r="C9" s="8"/>
      <c r="D9" s="61"/>
      <c r="E9" s="61"/>
      <c r="H9" s="7"/>
      <c r="I9" s="64"/>
      <c r="J9" s="65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46139</v>
      </c>
      <c r="D11" s="17"/>
      <c r="E11" s="17"/>
      <c r="F11" s="18"/>
      <c r="G11" s="19"/>
      <c r="H11" s="22"/>
      <c r="I11" s="20"/>
      <c r="J11" s="21">
        <f>SUM(G11:I11)</f>
        <v>0</v>
      </c>
    </row>
    <row r="12" spans="2:10" ht="21" customHeight="1" x14ac:dyDescent="0.25">
      <c r="B12" s="15" t="s">
        <v>17</v>
      </c>
      <c r="C12" s="16">
        <f t="shared" ref="C12:C17" si="0">C11+1</f>
        <v>46140</v>
      </c>
      <c r="D12" s="17"/>
      <c r="E12" s="17"/>
      <c r="F12" s="18"/>
      <c r="G12" s="19"/>
      <c r="H12" s="22"/>
      <c r="I12" s="20"/>
      <c r="J12" s="23">
        <f t="shared" ref="J12:J17" si="1">SUM(G12:I12)</f>
        <v>0</v>
      </c>
    </row>
    <row r="13" spans="2:10" ht="21" customHeight="1" x14ac:dyDescent="0.25">
      <c r="B13" s="15" t="s">
        <v>18</v>
      </c>
      <c r="C13" s="16">
        <f t="shared" si="0"/>
        <v>46141</v>
      </c>
      <c r="D13" s="17"/>
      <c r="E13" s="17"/>
      <c r="F13" s="18"/>
      <c r="G13" s="19"/>
      <c r="H13" s="22"/>
      <c r="I13" s="20"/>
      <c r="J13" s="23">
        <f t="shared" si="1"/>
        <v>0</v>
      </c>
    </row>
    <row r="14" spans="2:10" ht="21" customHeight="1" x14ac:dyDescent="0.25">
      <c r="B14" s="47" t="s">
        <v>19</v>
      </c>
      <c r="C14" s="48">
        <f t="shared" si="0"/>
        <v>46142</v>
      </c>
      <c r="D14" s="17"/>
      <c r="E14" s="17"/>
      <c r="F14" s="18"/>
      <c r="G14" s="19"/>
      <c r="H14" s="22"/>
      <c r="I14" s="50"/>
      <c r="J14" s="23">
        <f t="shared" si="1"/>
        <v>0</v>
      </c>
    </row>
    <row r="15" spans="2:10" ht="21" customHeight="1" x14ac:dyDescent="0.25">
      <c r="B15" s="15" t="s">
        <v>20</v>
      </c>
      <c r="C15" s="16">
        <f t="shared" si="0"/>
        <v>46143</v>
      </c>
      <c r="D15" s="17">
        <v>0.33333333333333331</v>
      </c>
      <c r="E15" s="17">
        <v>0.6875</v>
      </c>
      <c r="F15" s="18">
        <v>2.0833333333333332E-2</v>
      </c>
      <c r="G15" s="19">
        <f t="shared" ref="G15" si="2">((E15-D15)-F15)*24</f>
        <v>8</v>
      </c>
      <c r="H15" s="22"/>
      <c r="I15" s="20"/>
      <c r="J15" s="23">
        <f>SUM(G15:I15)</f>
        <v>8</v>
      </c>
    </row>
    <row r="16" spans="2:10" ht="21" customHeight="1" x14ac:dyDescent="0.25">
      <c r="B16" s="15" t="s">
        <v>21</v>
      </c>
      <c r="C16" s="16">
        <f t="shared" si="0"/>
        <v>46144</v>
      </c>
      <c r="D16" s="17"/>
      <c r="E16" s="17"/>
      <c r="F16" s="18"/>
      <c r="G16" s="19"/>
      <c r="H16" s="22"/>
      <c r="I16" s="20"/>
      <c r="J16" s="23">
        <f t="shared" si="1"/>
        <v>0</v>
      </c>
    </row>
    <row r="17" spans="2:10" ht="21" customHeight="1" x14ac:dyDescent="0.25">
      <c r="B17" s="15" t="s">
        <v>22</v>
      </c>
      <c r="C17" s="16">
        <f t="shared" si="0"/>
        <v>46145</v>
      </c>
      <c r="D17" s="17"/>
      <c r="E17" s="17"/>
      <c r="F17" s="18"/>
      <c r="G17" s="19"/>
      <c r="H17" s="22"/>
      <c r="I17" s="20"/>
      <c r="J17" s="23">
        <f t="shared" si="1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8</v>
      </c>
      <c r="H18" s="27">
        <f>SUM(H11:H17)</f>
        <v>0</v>
      </c>
      <c r="I18" s="28">
        <f>SUM(I11:I17)</f>
        <v>0</v>
      </c>
      <c r="J18" s="29">
        <f>SUM(J11:J17)</f>
        <v>8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C21" s="46"/>
      <c r="D21"/>
    </row>
    <row r="22" spans="2:10" ht="28.5" customHeight="1" x14ac:dyDescent="0.3">
      <c r="B22" s="52"/>
      <c r="C22" s="53"/>
      <c r="D22" s="42"/>
      <c r="E22" s="30"/>
      <c r="F22" s="60" t="s">
        <v>31</v>
      </c>
      <c r="G22" s="60"/>
      <c r="H22" s="60"/>
      <c r="I22" s="37"/>
      <c r="J22" s="38">
        <v>46171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0" t="s">
        <v>25</v>
      </c>
      <c r="G24" s="60"/>
      <c r="H24" s="60"/>
      <c r="I24" s="37"/>
      <c r="J24" s="38">
        <v>46171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6E59D845-90AB-4799-89C1-D0C500F67224}">
      <formula1>0</formula1>
      <formula2>0.999305555555556</formula2>
    </dataValidation>
  </dataValidations>
  <hyperlinks>
    <hyperlink ref="B8" r:id="rId1" xr:uid="{5FCC4A17-65F6-42E6-A3F7-446ED32162BF}"/>
    <hyperlink ref="I7" r:id="rId2" xr:uid="{207878A0-CF12-4471-9E9B-49C48AFA85ED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F7BE-E54F-4AAB-BAA2-A7AA1132B4B8}">
  <sheetPr>
    <tabColor indexed="55"/>
    <pageSetUpPr fitToPage="1"/>
  </sheetPr>
  <dimension ref="B1:J25"/>
  <sheetViews>
    <sheetView showGridLines="0" showZeros="0" topLeftCell="A12" zoomScaleNormal="100" workbookViewId="0">
      <selection activeCell="J24" sqref="J24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2.54296875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6"/>
      <c r="C2" s="66"/>
      <c r="D2" s="66"/>
      <c r="E2" s="66"/>
      <c r="F2" s="3"/>
    </row>
    <row r="3" spans="2:10" ht="14.25" customHeight="1" x14ac:dyDescent="0.25"/>
    <row r="4" spans="2:10" ht="17.149999999999999" customHeight="1" x14ac:dyDescent="0.25">
      <c r="B4" s="67" t="s">
        <v>1</v>
      </c>
      <c r="C4" s="67"/>
      <c r="D4" s="67"/>
      <c r="E4" s="67"/>
      <c r="H4" s="4" t="s">
        <v>2</v>
      </c>
      <c r="I4" s="68">
        <f>C17</f>
        <v>46152</v>
      </c>
      <c r="J4" s="68"/>
    </row>
    <row r="5" spans="2:10" ht="17.149999999999999" customHeight="1" x14ac:dyDescent="0.25">
      <c r="B5" s="67" t="s">
        <v>3</v>
      </c>
      <c r="C5" s="67"/>
      <c r="D5" s="67"/>
      <c r="E5" s="67"/>
      <c r="H5" s="5"/>
      <c r="I5" s="6"/>
      <c r="J5" s="6"/>
    </row>
    <row r="6" spans="2:10" ht="17.149999999999999" customHeight="1" x14ac:dyDescent="0.25">
      <c r="B6" s="67"/>
      <c r="C6" s="67"/>
      <c r="D6" s="67"/>
      <c r="E6" s="67"/>
      <c r="H6" s="7"/>
      <c r="I6" s="61" t="s">
        <v>31</v>
      </c>
      <c r="J6" s="61"/>
    </row>
    <row r="7" spans="2:10" ht="17.149999999999999" customHeight="1" x14ac:dyDescent="0.25">
      <c r="B7" s="8" t="s">
        <v>4</v>
      </c>
      <c r="C7" s="8" t="s">
        <v>5</v>
      </c>
      <c r="D7" s="61"/>
      <c r="E7" s="61"/>
      <c r="H7" s="7"/>
      <c r="I7" s="62" t="s">
        <v>29</v>
      </c>
      <c r="J7" s="61"/>
    </row>
    <row r="8" spans="2:10" ht="17.149999999999999" customHeight="1" x14ac:dyDescent="0.25">
      <c r="B8" s="9" t="s">
        <v>6</v>
      </c>
      <c r="C8" s="10"/>
      <c r="D8" s="61"/>
      <c r="E8" s="61"/>
      <c r="H8" s="7"/>
      <c r="I8" s="63">
        <v>6673699753</v>
      </c>
      <c r="J8" s="63"/>
    </row>
    <row r="9" spans="2:10" ht="17.149999999999999" customHeight="1" x14ac:dyDescent="0.25">
      <c r="B9" s="8"/>
      <c r="C9" s="8"/>
      <c r="D9" s="61"/>
      <c r="E9" s="61"/>
      <c r="H9" s="7"/>
      <c r="I9" s="64"/>
      <c r="J9" s="65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46146</v>
      </c>
      <c r="D11" s="17">
        <v>0.33333333333333331</v>
      </c>
      <c r="E11" s="17">
        <v>0.6875</v>
      </c>
      <c r="F11" s="18">
        <v>2.0833333333333332E-2</v>
      </c>
      <c r="G11" s="19">
        <f t="shared" ref="G11:G14" si="0">((E11-D11)-F11)*24</f>
        <v>8</v>
      </c>
      <c r="H11" s="22"/>
      <c r="I11" s="20"/>
      <c r="J11" s="21">
        <f>SUM(G11:I11)</f>
        <v>8</v>
      </c>
    </row>
    <row r="12" spans="2:10" ht="21" customHeight="1" x14ac:dyDescent="0.25">
      <c r="B12" s="15" t="s">
        <v>17</v>
      </c>
      <c r="C12" s="16">
        <f t="shared" ref="C12:C17" si="1">C11+1</f>
        <v>46147</v>
      </c>
      <c r="D12" s="17">
        <v>0.33333333333333331</v>
      </c>
      <c r="E12" s="17">
        <v>0.6875</v>
      </c>
      <c r="F12" s="18">
        <v>2.0833333333333332E-2</v>
      </c>
      <c r="G12" s="19">
        <f t="shared" si="0"/>
        <v>8</v>
      </c>
      <c r="H12" s="22"/>
      <c r="I12" s="20"/>
      <c r="J12" s="23">
        <f t="shared" ref="J12:J17" si="2">SUM(G12:I12)</f>
        <v>8</v>
      </c>
    </row>
    <row r="13" spans="2:10" ht="21" customHeight="1" x14ac:dyDescent="0.25">
      <c r="B13" s="15" t="s">
        <v>18</v>
      </c>
      <c r="C13" s="16">
        <f t="shared" si="1"/>
        <v>46148</v>
      </c>
      <c r="D13" s="17">
        <v>0.33333333333333331</v>
      </c>
      <c r="E13" s="17">
        <v>0.6875</v>
      </c>
      <c r="F13" s="18">
        <v>2.0833333333333332E-2</v>
      </c>
      <c r="G13" s="19">
        <f t="shared" si="0"/>
        <v>8</v>
      </c>
      <c r="H13" s="22"/>
      <c r="I13" s="20"/>
      <c r="J13" s="23">
        <f t="shared" si="2"/>
        <v>8</v>
      </c>
    </row>
    <row r="14" spans="2:10" ht="21" customHeight="1" x14ac:dyDescent="0.25">
      <c r="B14" s="47" t="s">
        <v>19</v>
      </c>
      <c r="C14" s="48">
        <f t="shared" si="1"/>
        <v>46149</v>
      </c>
      <c r="D14" s="17">
        <v>0.33333333333333331</v>
      </c>
      <c r="E14" s="17">
        <v>0.6875</v>
      </c>
      <c r="F14" s="18">
        <v>2.0833333333333332E-2</v>
      </c>
      <c r="G14" s="19">
        <f t="shared" si="0"/>
        <v>8</v>
      </c>
      <c r="H14" s="22"/>
      <c r="I14" s="50"/>
      <c r="J14" s="23">
        <f t="shared" si="2"/>
        <v>8</v>
      </c>
    </row>
    <row r="15" spans="2:10" ht="21" customHeight="1" x14ac:dyDescent="0.25">
      <c r="B15" s="15" t="s">
        <v>20</v>
      </c>
      <c r="C15" s="16">
        <f t="shared" si="1"/>
        <v>46150</v>
      </c>
      <c r="D15" s="17">
        <v>0.33333333333333331</v>
      </c>
      <c r="E15" s="17">
        <v>0.6875</v>
      </c>
      <c r="F15" s="18">
        <v>2.0833333333333332E-2</v>
      </c>
      <c r="G15" s="19">
        <f t="shared" ref="G15" si="3">((E15-D15)-F15)*24</f>
        <v>8</v>
      </c>
      <c r="H15" s="22"/>
      <c r="I15" s="20"/>
      <c r="J15" s="23">
        <f t="shared" si="2"/>
        <v>8</v>
      </c>
    </row>
    <row r="16" spans="2:10" ht="21" customHeight="1" x14ac:dyDescent="0.25">
      <c r="B16" s="15" t="s">
        <v>21</v>
      </c>
      <c r="C16" s="16">
        <f t="shared" si="1"/>
        <v>46151</v>
      </c>
      <c r="D16" s="17"/>
      <c r="E16" s="17"/>
      <c r="F16" s="18"/>
      <c r="G16" s="19"/>
      <c r="H16" s="22"/>
      <c r="I16" s="20"/>
      <c r="J16" s="23">
        <f t="shared" si="2"/>
        <v>0</v>
      </c>
    </row>
    <row r="17" spans="2:10" ht="21" customHeight="1" x14ac:dyDescent="0.25">
      <c r="B17" s="15" t="s">
        <v>22</v>
      </c>
      <c r="C17" s="16">
        <f t="shared" si="1"/>
        <v>46152</v>
      </c>
      <c r="D17" s="17"/>
      <c r="E17" s="17"/>
      <c r="F17" s="18"/>
      <c r="G17" s="19"/>
      <c r="H17" s="22"/>
      <c r="I17" s="20"/>
      <c r="J17" s="23">
        <f t="shared" si="2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40</v>
      </c>
      <c r="H18" s="27">
        <f>SUM(H11:H17)</f>
        <v>0</v>
      </c>
      <c r="I18" s="28">
        <f>SUM(I11:I17)</f>
        <v>0</v>
      </c>
      <c r="J18" s="29">
        <f>SUM(J11:J17)</f>
        <v>40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C21" s="46"/>
      <c r="D21"/>
    </row>
    <row r="22" spans="2:10" ht="28.5" customHeight="1" x14ac:dyDescent="0.3">
      <c r="B22" s="52"/>
      <c r="C22" s="53"/>
      <c r="D22" s="42"/>
      <c r="E22" s="30"/>
      <c r="F22" s="60" t="s">
        <v>31</v>
      </c>
      <c r="G22" s="60"/>
      <c r="H22" s="60"/>
      <c r="I22" s="37"/>
      <c r="J22" s="38">
        <v>46171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0" t="s">
        <v>25</v>
      </c>
      <c r="G24" s="60"/>
      <c r="H24" s="60"/>
      <c r="I24" s="37"/>
      <c r="J24" s="38">
        <v>46171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800A525A-7BBD-4E7A-9772-9848A21E1D89}">
      <formula1>0</formula1>
      <formula2>0.999305555555556</formula2>
    </dataValidation>
  </dataValidations>
  <hyperlinks>
    <hyperlink ref="B8" r:id="rId1" xr:uid="{33DC47CC-FBAC-47DA-A119-10EA95E53C2B}"/>
    <hyperlink ref="I7" r:id="rId2" xr:uid="{92B71E0F-FE1D-40AE-81D0-69637FBC95D9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1105-8107-4D6D-A8A3-4A5A9C7D2CBE}">
  <sheetPr>
    <tabColor indexed="55"/>
    <pageSetUpPr fitToPage="1"/>
  </sheetPr>
  <dimension ref="B1:J25"/>
  <sheetViews>
    <sheetView showGridLines="0" showZeros="0" topLeftCell="A13" zoomScaleNormal="100" workbookViewId="0">
      <selection activeCell="J24" sqref="J24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2.54296875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6"/>
      <c r="C2" s="66"/>
      <c r="D2" s="66"/>
      <c r="E2" s="66"/>
      <c r="F2" s="3"/>
    </row>
    <row r="3" spans="2:10" ht="14.25" customHeight="1" x14ac:dyDescent="0.25"/>
    <row r="4" spans="2:10" ht="17.149999999999999" customHeight="1" x14ac:dyDescent="0.25">
      <c r="B4" s="67" t="s">
        <v>1</v>
      </c>
      <c r="C4" s="67"/>
      <c r="D4" s="67"/>
      <c r="E4" s="67"/>
      <c r="H4" s="4" t="s">
        <v>2</v>
      </c>
      <c r="I4" s="68">
        <f>C17</f>
        <v>46159</v>
      </c>
      <c r="J4" s="68"/>
    </row>
    <row r="5" spans="2:10" ht="17.149999999999999" customHeight="1" x14ac:dyDescent="0.25">
      <c r="B5" s="67" t="s">
        <v>3</v>
      </c>
      <c r="C5" s="67"/>
      <c r="D5" s="67"/>
      <c r="E5" s="67"/>
      <c r="H5" s="5"/>
      <c r="I5" s="6"/>
      <c r="J5" s="6"/>
    </row>
    <row r="6" spans="2:10" ht="17.149999999999999" customHeight="1" x14ac:dyDescent="0.25">
      <c r="B6" s="67"/>
      <c r="C6" s="67"/>
      <c r="D6" s="67"/>
      <c r="E6" s="67"/>
      <c r="H6" s="7"/>
      <c r="I6" s="61" t="s">
        <v>31</v>
      </c>
      <c r="J6" s="61"/>
    </row>
    <row r="7" spans="2:10" ht="17.149999999999999" customHeight="1" x14ac:dyDescent="0.25">
      <c r="B7" s="8" t="s">
        <v>4</v>
      </c>
      <c r="C7" s="8" t="s">
        <v>5</v>
      </c>
      <c r="D7" s="61"/>
      <c r="E7" s="61"/>
      <c r="H7" s="7"/>
      <c r="I7" s="62" t="s">
        <v>29</v>
      </c>
      <c r="J7" s="61"/>
    </row>
    <row r="8" spans="2:10" ht="17.149999999999999" customHeight="1" x14ac:dyDescent="0.25">
      <c r="B8" s="9" t="s">
        <v>6</v>
      </c>
      <c r="C8" s="10"/>
      <c r="D8" s="61"/>
      <c r="E8" s="61"/>
      <c r="H8" s="7"/>
      <c r="I8" s="63">
        <v>6673699753</v>
      </c>
      <c r="J8" s="63"/>
    </row>
    <row r="9" spans="2:10" ht="17.149999999999999" customHeight="1" x14ac:dyDescent="0.25">
      <c r="B9" s="8"/>
      <c r="C9" s="8"/>
      <c r="D9" s="61"/>
      <c r="E9" s="61"/>
      <c r="H9" s="7"/>
      <c r="I9" s="64"/>
      <c r="J9" s="65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46153</v>
      </c>
      <c r="D11" s="17">
        <v>0.33333333333333331</v>
      </c>
      <c r="E11" s="17">
        <v>0.6875</v>
      </c>
      <c r="F11" s="18">
        <v>2.0833333333333332E-2</v>
      </c>
      <c r="G11" s="19">
        <f t="shared" ref="G11:G15" si="0">((E11-D11)-F11)*24</f>
        <v>8</v>
      </c>
      <c r="H11" s="22"/>
      <c r="I11" s="20"/>
      <c r="J11" s="21">
        <f>SUM(G11:I11)</f>
        <v>8</v>
      </c>
    </row>
    <row r="12" spans="2:10" ht="21" customHeight="1" x14ac:dyDescent="0.25">
      <c r="B12" s="15" t="s">
        <v>17</v>
      </c>
      <c r="C12" s="16">
        <f t="shared" ref="C12:C17" si="1">C11+1</f>
        <v>46154</v>
      </c>
      <c r="D12" s="17">
        <v>0.33333333333333331</v>
      </c>
      <c r="E12" s="17">
        <v>0.6875</v>
      </c>
      <c r="F12" s="18">
        <v>2.0833333333333332E-2</v>
      </c>
      <c r="G12" s="19">
        <f t="shared" si="0"/>
        <v>8</v>
      </c>
      <c r="H12" s="22"/>
      <c r="I12" s="20"/>
      <c r="J12" s="23">
        <f t="shared" ref="J12:J17" si="2">SUM(G12:I12)</f>
        <v>8</v>
      </c>
    </row>
    <row r="13" spans="2:10" ht="21" customHeight="1" x14ac:dyDescent="0.25">
      <c r="B13" s="15" t="s">
        <v>18</v>
      </c>
      <c r="C13" s="16">
        <f t="shared" si="1"/>
        <v>46155</v>
      </c>
      <c r="D13" s="17">
        <v>0.33333333333333331</v>
      </c>
      <c r="E13" s="17">
        <v>0.6875</v>
      </c>
      <c r="F13" s="18">
        <v>2.0833333333333332E-2</v>
      </c>
      <c r="G13" s="19">
        <f t="shared" si="0"/>
        <v>8</v>
      </c>
      <c r="H13" s="22"/>
      <c r="I13" s="20"/>
      <c r="J13" s="23">
        <f t="shared" si="2"/>
        <v>8</v>
      </c>
    </row>
    <row r="14" spans="2:10" ht="21" customHeight="1" x14ac:dyDescent="0.25">
      <c r="B14" s="47" t="s">
        <v>19</v>
      </c>
      <c r="C14" s="48">
        <f t="shared" si="1"/>
        <v>46156</v>
      </c>
      <c r="D14" s="17">
        <v>0.33333333333333331</v>
      </c>
      <c r="E14" s="17">
        <v>0.6875</v>
      </c>
      <c r="F14" s="18">
        <v>2.0833333333333332E-2</v>
      </c>
      <c r="G14" s="19">
        <f t="shared" si="0"/>
        <v>8</v>
      </c>
      <c r="H14" s="22"/>
      <c r="I14" s="50"/>
      <c r="J14" s="23">
        <f t="shared" si="2"/>
        <v>8</v>
      </c>
    </row>
    <row r="15" spans="2:10" ht="21" customHeight="1" x14ac:dyDescent="0.25">
      <c r="B15" s="15" t="s">
        <v>20</v>
      </c>
      <c r="C15" s="16">
        <f t="shared" si="1"/>
        <v>46157</v>
      </c>
      <c r="D15" s="17">
        <v>0.33333333333333331</v>
      </c>
      <c r="E15" s="17">
        <v>0.6875</v>
      </c>
      <c r="F15" s="18">
        <v>2.0833333333333332E-2</v>
      </c>
      <c r="G15" s="19">
        <f t="shared" si="0"/>
        <v>8</v>
      </c>
      <c r="H15" s="22"/>
      <c r="I15" s="20"/>
      <c r="J15" s="23">
        <f t="shared" si="2"/>
        <v>8</v>
      </c>
    </row>
    <row r="16" spans="2:10" ht="21" customHeight="1" x14ac:dyDescent="0.25">
      <c r="B16" s="15" t="s">
        <v>21</v>
      </c>
      <c r="C16" s="16">
        <f t="shared" si="1"/>
        <v>46158</v>
      </c>
      <c r="D16" s="17"/>
      <c r="E16" s="17"/>
      <c r="F16" s="18"/>
      <c r="G16" s="19"/>
      <c r="H16" s="22"/>
      <c r="I16" s="20"/>
      <c r="J16" s="23">
        <f t="shared" si="2"/>
        <v>0</v>
      </c>
    </row>
    <row r="17" spans="2:10" ht="21" customHeight="1" x14ac:dyDescent="0.25">
      <c r="B17" s="15" t="s">
        <v>22</v>
      </c>
      <c r="C17" s="16">
        <f t="shared" si="1"/>
        <v>46159</v>
      </c>
      <c r="D17" s="17"/>
      <c r="E17" s="17"/>
      <c r="F17" s="18"/>
      <c r="G17" s="19"/>
      <c r="H17" s="22"/>
      <c r="I17" s="20"/>
      <c r="J17" s="23">
        <f t="shared" si="2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40</v>
      </c>
      <c r="H18" s="27">
        <f>SUM(H11:H17)</f>
        <v>0</v>
      </c>
      <c r="I18" s="28">
        <f>SUM(I11:I17)</f>
        <v>0</v>
      </c>
      <c r="J18" s="29">
        <f>SUM(J11:J17)</f>
        <v>40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C21" s="46"/>
      <c r="D21"/>
    </row>
    <row r="22" spans="2:10" ht="28.5" customHeight="1" x14ac:dyDescent="0.3">
      <c r="B22" s="52"/>
      <c r="C22" s="53"/>
      <c r="D22" s="42"/>
      <c r="E22" s="30"/>
      <c r="F22" s="60" t="s">
        <v>31</v>
      </c>
      <c r="G22" s="60"/>
      <c r="H22" s="60"/>
      <c r="I22" s="37"/>
      <c r="J22" s="38">
        <v>46171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0" t="s">
        <v>25</v>
      </c>
      <c r="G24" s="60"/>
      <c r="H24" s="60"/>
      <c r="I24" s="37"/>
      <c r="J24" s="38">
        <v>46171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51F8A56E-A7B9-4D44-9D88-B4F146B8F8BA}">
      <formula1>0</formula1>
      <formula2>0.999305555555556</formula2>
    </dataValidation>
  </dataValidations>
  <hyperlinks>
    <hyperlink ref="B8" r:id="rId1" xr:uid="{968758D3-9678-468A-A505-E2C524434BAA}"/>
    <hyperlink ref="I7" r:id="rId2" xr:uid="{E7389938-7BA0-4C47-87B2-DB4004C82D42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CB76-5A25-4CF1-BB2A-D922119D39F7}">
  <sheetPr>
    <tabColor indexed="55"/>
    <pageSetUpPr fitToPage="1"/>
  </sheetPr>
  <dimension ref="B1:J25"/>
  <sheetViews>
    <sheetView showGridLines="0" showZeros="0" topLeftCell="A12" zoomScaleNormal="100" workbookViewId="0">
      <selection activeCell="J24" sqref="J24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2.54296875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6"/>
      <c r="C2" s="66"/>
      <c r="D2" s="66"/>
      <c r="E2" s="66"/>
      <c r="F2" s="3"/>
    </row>
    <row r="3" spans="2:10" ht="14.25" customHeight="1" x14ac:dyDescent="0.25"/>
    <row r="4" spans="2:10" ht="17.149999999999999" customHeight="1" x14ac:dyDescent="0.25">
      <c r="B4" s="67" t="s">
        <v>1</v>
      </c>
      <c r="C4" s="67"/>
      <c r="D4" s="67"/>
      <c r="E4" s="67"/>
      <c r="H4" s="4" t="s">
        <v>2</v>
      </c>
      <c r="I4" s="68">
        <f>C17</f>
        <v>46166</v>
      </c>
      <c r="J4" s="68"/>
    </row>
    <row r="5" spans="2:10" ht="17.149999999999999" customHeight="1" x14ac:dyDescent="0.25">
      <c r="B5" s="67" t="s">
        <v>3</v>
      </c>
      <c r="C5" s="67"/>
      <c r="D5" s="67"/>
      <c r="E5" s="67"/>
      <c r="H5" s="5"/>
      <c r="I5" s="6"/>
      <c r="J5" s="6"/>
    </row>
    <row r="6" spans="2:10" ht="17.149999999999999" customHeight="1" x14ac:dyDescent="0.25">
      <c r="B6" s="67"/>
      <c r="C6" s="67"/>
      <c r="D6" s="67"/>
      <c r="E6" s="67"/>
      <c r="H6" s="7"/>
      <c r="I6" s="61" t="s">
        <v>31</v>
      </c>
      <c r="J6" s="61"/>
    </row>
    <row r="7" spans="2:10" ht="17.149999999999999" customHeight="1" x14ac:dyDescent="0.25">
      <c r="B7" s="8" t="s">
        <v>4</v>
      </c>
      <c r="C7" s="8" t="s">
        <v>5</v>
      </c>
      <c r="D7" s="61"/>
      <c r="E7" s="61"/>
      <c r="H7" s="7" t="s">
        <v>30</v>
      </c>
      <c r="I7" s="62" t="s">
        <v>29</v>
      </c>
      <c r="J7" s="61"/>
    </row>
    <row r="8" spans="2:10" ht="17.149999999999999" customHeight="1" x14ac:dyDescent="0.25">
      <c r="B8" s="9" t="s">
        <v>6</v>
      </c>
      <c r="C8" s="10"/>
      <c r="D8" s="61"/>
      <c r="E8" s="61"/>
      <c r="H8" s="7"/>
      <c r="I8" s="63">
        <v>6673699753</v>
      </c>
      <c r="J8" s="63"/>
    </row>
    <row r="9" spans="2:10" ht="17.149999999999999" customHeight="1" x14ac:dyDescent="0.25">
      <c r="B9" s="8"/>
      <c r="C9" s="8"/>
      <c r="D9" s="61"/>
      <c r="E9" s="61"/>
      <c r="H9" s="7"/>
      <c r="I9" s="64"/>
      <c r="J9" s="65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46160</v>
      </c>
      <c r="D11" s="17">
        <v>0.33333333333333331</v>
      </c>
      <c r="E11" s="17">
        <v>0.6875</v>
      </c>
      <c r="F11" s="18">
        <v>2.0833333333333332E-2</v>
      </c>
      <c r="G11" s="19">
        <f t="shared" ref="G11:G17" si="0">((E11-D11)-F11)*24</f>
        <v>8</v>
      </c>
      <c r="H11" s="22"/>
      <c r="I11" s="20"/>
      <c r="J11" s="21">
        <f>SUM(G11:I11)</f>
        <v>8</v>
      </c>
    </row>
    <row r="12" spans="2:10" ht="21" customHeight="1" x14ac:dyDescent="0.25">
      <c r="B12" s="15" t="s">
        <v>17</v>
      </c>
      <c r="C12" s="16">
        <f t="shared" ref="C12:C17" si="1">C11+1</f>
        <v>46161</v>
      </c>
      <c r="D12" s="17">
        <v>0.33333333333333331</v>
      </c>
      <c r="E12" s="17">
        <v>0.6875</v>
      </c>
      <c r="F12" s="18">
        <v>2.0833333333333332E-2</v>
      </c>
      <c r="G12" s="19">
        <f t="shared" si="0"/>
        <v>8</v>
      </c>
      <c r="H12" s="22"/>
      <c r="I12" s="20"/>
      <c r="J12" s="23">
        <f t="shared" ref="J12:J17" si="2">SUM(G12:I12)</f>
        <v>8</v>
      </c>
    </row>
    <row r="13" spans="2:10" ht="21" customHeight="1" x14ac:dyDescent="0.25">
      <c r="B13" s="15" t="s">
        <v>18</v>
      </c>
      <c r="C13" s="16">
        <f t="shared" si="1"/>
        <v>46162</v>
      </c>
      <c r="D13" s="17">
        <v>0.33333333333333331</v>
      </c>
      <c r="E13" s="17">
        <v>0.6875</v>
      </c>
      <c r="F13" s="18">
        <v>2.0833333333333332E-2</v>
      </c>
      <c r="G13" s="19">
        <f t="shared" si="0"/>
        <v>8</v>
      </c>
      <c r="H13" s="22"/>
      <c r="I13" s="20"/>
      <c r="J13" s="23">
        <f t="shared" si="2"/>
        <v>8</v>
      </c>
    </row>
    <row r="14" spans="2:10" ht="21" customHeight="1" x14ac:dyDescent="0.25">
      <c r="B14" s="47" t="s">
        <v>19</v>
      </c>
      <c r="C14" s="48">
        <f t="shared" si="1"/>
        <v>46163</v>
      </c>
      <c r="D14" s="17">
        <v>0.33333333333333331</v>
      </c>
      <c r="E14" s="17">
        <v>0.6875</v>
      </c>
      <c r="F14" s="18">
        <v>2.0833333333333332E-2</v>
      </c>
      <c r="G14" s="19">
        <f t="shared" si="0"/>
        <v>8</v>
      </c>
      <c r="H14" s="49"/>
      <c r="I14" s="50"/>
      <c r="J14" s="23">
        <f t="shared" si="2"/>
        <v>8</v>
      </c>
    </row>
    <row r="15" spans="2:10" ht="21" customHeight="1" x14ac:dyDescent="0.25">
      <c r="B15" s="15" t="s">
        <v>20</v>
      </c>
      <c r="C15" s="16">
        <f t="shared" si="1"/>
        <v>46164</v>
      </c>
      <c r="D15" s="17">
        <v>0.33333333333333331</v>
      </c>
      <c r="E15" s="17">
        <v>0.6875</v>
      </c>
      <c r="F15" s="18">
        <v>2.0833333333333332E-2</v>
      </c>
      <c r="G15" s="19">
        <f t="shared" si="0"/>
        <v>8</v>
      </c>
      <c r="H15" s="22"/>
      <c r="I15" s="20"/>
      <c r="J15" s="23">
        <f t="shared" si="2"/>
        <v>8</v>
      </c>
    </row>
    <row r="16" spans="2:10" ht="21" customHeight="1" x14ac:dyDescent="0.25">
      <c r="B16" s="15" t="s">
        <v>21</v>
      </c>
      <c r="C16" s="16">
        <f t="shared" si="1"/>
        <v>46165</v>
      </c>
      <c r="D16" s="17"/>
      <c r="E16" s="17"/>
      <c r="F16" s="18"/>
      <c r="G16" s="19">
        <f t="shared" si="0"/>
        <v>0</v>
      </c>
      <c r="H16" s="22"/>
      <c r="I16" s="20"/>
      <c r="J16" s="23">
        <f t="shared" si="2"/>
        <v>0</v>
      </c>
    </row>
    <row r="17" spans="2:10" ht="21" customHeight="1" x14ac:dyDescent="0.25">
      <c r="B17" s="15" t="s">
        <v>22</v>
      </c>
      <c r="C17" s="16">
        <f t="shared" si="1"/>
        <v>46166</v>
      </c>
      <c r="D17" s="17"/>
      <c r="E17" s="17"/>
      <c r="F17" s="18"/>
      <c r="G17" s="19">
        <f t="shared" si="0"/>
        <v>0</v>
      </c>
      <c r="H17" s="22"/>
      <c r="I17" s="20"/>
      <c r="J17" s="23">
        <f t="shared" si="2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40</v>
      </c>
      <c r="H18" s="27">
        <f>SUM(H11:H17)</f>
        <v>0</v>
      </c>
      <c r="I18" s="28">
        <f>SUM(I11:I17)</f>
        <v>0</v>
      </c>
      <c r="J18" s="29">
        <f>SUM(J11:J17)</f>
        <v>40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D21"/>
    </row>
    <row r="22" spans="2:10" ht="28.5" customHeight="1" x14ac:dyDescent="0.3">
      <c r="B22" s="51"/>
      <c r="C22" s="46"/>
      <c r="D22" s="42"/>
      <c r="E22" s="30"/>
      <c r="F22" s="60" t="s">
        <v>31</v>
      </c>
      <c r="G22" s="60"/>
      <c r="H22" s="60"/>
      <c r="I22" s="37"/>
      <c r="J22" s="38">
        <v>46171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0" t="s">
        <v>25</v>
      </c>
      <c r="G24" s="60"/>
      <c r="H24" s="60"/>
      <c r="I24" s="37"/>
      <c r="J24" s="38">
        <v>46171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28FBA6B3-928E-432C-86B1-65395562C9B9}">
      <formula1>0</formula1>
      <formula2>0.999305555555556</formula2>
    </dataValidation>
  </dataValidations>
  <hyperlinks>
    <hyperlink ref="B8" r:id="rId1" xr:uid="{A9A116E1-55ED-4CCA-9063-8AA0A6395A89}"/>
    <hyperlink ref="I7" r:id="rId2" xr:uid="{C4A938BB-D092-4DA6-9C39-2E7CDC91668D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64B0-F8EB-4CFA-96E4-724DD410DF63}">
  <sheetPr>
    <tabColor indexed="55"/>
    <pageSetUpPr fitToPage="1"/>
  </sheetPr>
  <dimension ref="B1:J25"/>
  <sheetViews>
    <sheetView showGridLines="0" showZeros="0" topLeftCell="A8" zoomScaleNormal="100" workbookViewId="0">
      <selection activeCell="B4" sqref="B4:E4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2.54296875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6"/>
      <c r="C2" s="66"/>
      <c r="D2" s="66"/>
      <c r="E2" s="66"/>
      <c r="F2" s="3"/>
    </row>
    <row r="3" spans="2:10" ht="14.25" customHeight="1" x14ac:dyDescent="0.25"/>
    <row r="4" spans="2:10" ht="17.149999999999999" customHeight="1" x14ac:dyDescent="0.25">
      <c r="B4" s="67" t="s">
        <v>1</v>
      </c>
      <c r="C4" s="67"/>
      <c r="D4" s="67"/>
      <c r="E4" s="67"/>
      <c r="H4" s="4" t="s">
        <v>2</v>
      </c>
      <c r="I4" s="68">
        <f>C17</f>
        <v>46173</v>
      </c>
      <c r="J4" s="68"/>
    </row>
    <row r="5" spans="2:10" ht="17.149999999999999" customHeight="1" x14ac:dyDescent="0.25">
      <c r="B5" s="67" t="s">
        <v>3</v>
      </c>
      <c r="C5" s="67"/>
      <c r="D5" s="67"/>
      <c r="E5" s="67"/>
      <c r="H5" s="5"/>
      <c r="I5" s="6"/>
      <c r="J5" s="6"/>
    </row>
    <row r="6" spans="2:10" ht="17.149999999999999" customHeight="1" x14ac:dyDescent="0.25">
      <c r="B6" s="67"/>
      <c r="C6" s="67"/>
      <c r="D6" s="67"/>
      <c r="E6" s="67"/>
      <c r="H6" s="7"/>
      <c r="I6" s="61" t="s">
        <v>31</v>
      </c>
      <c r="J6" s="61"/>
    </row>
    <row r="7" spans="2:10" ht="17.149999999999999" customHeight="1" x14ac:dyDescent="0.25">
      <c r="B7" s="8" t="s">
        <v>4</v>
      </c>
      <c r="C7" s="8" t="s">
        <v>5</v>
      </c>
      <c r="D7" s="61"/>
      <c r="E7" s="61"/>
      <c r="H7" s="7" t="s">
        <v>30</v>
      </c>
      <c r="I7" s="62" t="s">
        <v>29</v>
      </c>
      <c r="J7" s="61"/>
    </row>
    <row r="8" spans="2:10" ht="17.149999999999999" customHeight="1" x14ac:dyDescent="0.25">
      <c r="B8" s="9" t="s">
        <v>6</v>
      </c>
      <c r="C8" s="10"/>
      <c r="D8" s="61"/>
      <c r="E8" s="61"/>
      <c r="H8" s="7"/>
      <c r="I8" s="63">
        <v>6673699753</v>
      </c>
      <c r="J8" s="63"/>
    </row>
    <row r="9" spans="2:10" ht="17.149999999999999" customHeight="1" x14ac:dyDescent="0.25">
      <c r="B9" s="8"/>
      <c r="C9" s="8"/>
      <c r="D9" s="61"/>
      <c r="E9" s="61"/>
      <c r="H9" s="7"/>
      <c r="I9" s="64"/>
      <c r="J9" s="65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46167</v>
      </c>
      <c r="D11" s="17"/>
      <c r="E11" s="17"/>
      <c r="F11" s="18"/>
      <c r="G11" s="19"/>
      <c r="H11" s="22"/>
      <c r="I11" s="20">
        <v>8</v>
      </c>
      <c r="J11" s="21">
        <f>SUM(G11:I11)</f>
        <v>8</v>
      </c>
    </row>
    <row r="12" spans="2:10" ht="21" customHeight="1" x14ac:dyDescent="0.25">
      <c r="B12" s="15" t="s">
        <v>17</v>
      </c>
      <c r="C12" s="16">
        <f t="shared" ref="C12:C17" si="0">C11+1</f>
        <v>46168</v>
      </c>
      <c r="D12" s="17">
        <v>0.33333333333333331</v>
      </c>
      <c r="E12" s="17">
        <v>0.6875</v>
      </c>
      <c r="F12" s="18">
        <v>2.0833333333333332E-2</v>
      </c>
      <c r="G12" s="19">
        <f t="shared" ref="G11:G17" si="1">((E12-D12)-F12)*24</f>
        <v>8</v>
      </c>
      <c r="H12" s="22"/>
      <c r="I12" s="20"/>
      <c r="J12" s="23">
        <f t="shared" ref="J12:J17" si="2">SUM(G12:I12)</f>
        <v>8</v>
      </c>
    </row>
    <row r="13" spans="2:10" ht="21" customHeight="1" x14ac:dyDescent="0.25">
      <c r="B13" s="15" t="s">
        <v>18</v>
      </c>
      <c r="C13" s="16">
        <f t="shared" si="0"/>
        <v>46169</v>
      </c>
      <c r="D13" s="17">
        <v>0.33333333333333331</v>
      </c>
      <c r="E13" s="17">
        <v>0.6875</v>
      </c>
      <c r="F13" s="18">
        <v>2.0833333333333332E-2</v>
      </c>
      <c r="G13" s="19">
        <f t="shared" ref="G13:G14" si="3">((E13-D13)-F13)*24</f>
        <v>8</v>
      </c>
      <c r="H13" s="22"/>
      <c r="I13" s="20"/>
      <c r="J13" s="23">
        <f t="shared" si="2"/>
        <v>8</v>
      </c>
    </row>
    <row r="14" spans="2:10" ht="21" customHeight="1" x14ac:dyDescent="0.25">
      <c r="B14" s="47" t="s">
        <v>19</v>
      </c>
      <c r="C14" s="48">
        <f t="shared" si="0"/>
        <v>46170</v>
      </c>
      <c r="D14" s="17">
        <v>0.33333333333333331</v>
      </c>
      <c r="E14" s="17">
        <v>0.6875</v>
      </c>
      <c r="F14" s="18">
        <v>2.0833333333333332E-2</v>
      </c>
      <c r="G14" s="19">
        <f t="shared" si="3"/>
        <v>8</v>
      </c>
      <c r="H14" s="49"/>
      <c r="I14" s="50"/>
      <c r="J14" s="23">
        <f t="shared" si="2"/>
        <v>8</v>
      </c>
    </row>
    <row r="15" spans="2:10" ht="21" customHeight="1" x14ac:dyDescent="0.25">
      <c r="B15" s="15" t="s">
        <v>20</v>
      </c>
      <c r="C15" s="16">
        <f t="shared" si="0"/>
        <v>46171</v>
      </c>
      <c r="D15" s="17">
        <v>0.33333333333333331</v>
      </c>
      <c r="E15" s="17">
        <v>0.6875</v>
      </c>
      <c r="F15" s="18">
        <v>2.0833333333333332E-2</v>
      </c>
      <c r="G15" s="19">
        <f t="shared" ref="G15" si="4">((E15-D15)-F15)*24</f>
        <v>8</v>
      </c>
      <c r="H15" s="22"/>
      <c r="I15" s="20"/>
      <c r="J15" s="23">
        <f t="shared" si="2"/>
        <v>8</v>
      </c>
    </row>
    <row r="16" spans="2:10" ht="21" customHeight="1" x14ac:dyDescent="0.25">
      <c r="B16" s="15" t="s">
        <v>21</v>
      </c>
      <c r="C16" s="16">
        <f t="shared" si="0"/>
        <v>46172</v>
      </c>
      <c r="D16" s="17"/>
      <c r="E16" s="17"/>
      <c r="F16" s="18"/>
      <c r="G16" s="19">
        <f t="shared" si="1"/>
        <v>0</v>
      </c>
      <c r="H16" s="22"/>
      <c r="I16" s="20"/>
      <c r="J16" s="23">
        <f t="shared" si="2"/>
        <v>0</v>
      </c>
    </row>
    <row r="17" spans="2:10" ht="21" customHeight="1" x14ac:dyDescent="0.25">
      <c r="B17" s="15" t="s">
        <v>22</v>
      </c>
      <c r="C17" s="16">
        <f t="shared" si="0"/>
        <v>46173</v>
      </c>
      <c r="D17" s="17"/>
      <c r="E17" s="17"/>
      <c r="F17" s="18"/>
      <c r="G17" s="19">
        <f t="shared" si="1"/>
        <v>0</v>
      </c>
      <c r="H17" s="22"/>
      <c r="I17" s="20"/>
      <c r="J17" s="23">
        <f t="shared" si="2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32</v>
      </c>
      <c r="H18" s="27">
        <f>SUM(H11:H17)</f>
        <v>0</v>
      </c>
      <c r="I18" s="28">
        <f>SUM(I11:I17)</f>
        <v>8</v>
      </c>
      <c r="J18" s="29">
        <f>SUM(J11:J17)</f>
        <v>40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D21"/>
    </row>
    <row r="22" spans="2:10" ht="28.5" customHeight="1" x14ac:dyDescent="0.3">
      <c r="B22" s="51"/>
      <c r="C22" s="46"/>
      <c r="D22" s="42"/>
      <c r="E22" s="30"/>
      <c r="F22" s="60" t="s">
        <v>31</v>
      </c>
      <c r="G22" s="60"/>
      <c r="H22" s="60"/>
      <c r="I22" s="37"/>
      <c r="J22" s="38">
        <v>46171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0" t="s">
        <v>25</v>
      </c>
      <c r="G24" s="60"/>
      <c r="H24" s="60"/>
      <c r="I24" s="37"/>
      <c r="J24" s="38">
        <v>46171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49C4129C-72F1-42E9-A636-B440A471C9F2}">
      <formula1>0</formula1>
      <formula2>0.999305555555556</formula2>
    </dataValidation>
  </dataValidations>
  <hyperlinks>
    <hyperlink ref="B8" r:id="rId1" xr:uid="{D9A133B6-7D41-4C46-A3B9-67B15F42269B}"/>
    <hyperlink ref="I7" r:id="rId2" xr:uid="{1610EF6E-9DD1-433A-B598-FD76EA133E9A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8420BC62479E438D61342B251A42BD" ma:contentTypeVersion="14" ma:contentTypeDescription="Create a new document." ma:contentTypeScope="" ma:versionID="77f1580eaaf3d2bbc92379843993064f">
  <xsd:schema xmlns:xsd="http://www.w3.org/2001/XMLSchema" xmlns:xs="http://www.w3.org/2001/XMLSchema" xmlns:p="http://schemas.microsoft.com/office/2006/metadata/properties" xmlns:ns3="2f9ed4f0-8c08-4992-bf94-7656ac993537" xmlns:ns4="d2fc84e5-cbd7-448b-b693-44fd3dac58cb" targetNamespace="http://schemas.microsoft.com/office/2006/metadata/properties" ma:root="true" ma:fieldsID="ccccab24c1b5170f1ebb468bddaaa9ba" ns3:_="" ns4:_="">
    <xsd:import namespace="2f9ed4f0-8c08-4992-bf94-7656ac993537"/>
    <xsd:import namespace="d2fc84e5-cbd7-448b-b693-44fd3dac58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ed4f0-8c08-4992-bf94-7656ac993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c84e5-cbd7-448b-b693-44fd3dac58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72EEE2-02E8-40E1-B3DC-66D89AEC9EA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d2fc84e5-cbd7-448b-b693-44fd3dac58cb"/>
    <ds:schemaRef ds:uri="http://www.w3.org/XML/1998/namespace"/>
    <ds:schemaRef ds:uri="http://purl.org/dc/dcmitype/"/>
    <ds:schemaRef ds:uri="2f9ed4f0-8c08-4992-bf94-7656ac993537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6616442-E700-4308-9300-5C0F26D536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C31D8B-CE20-4D45-BDCC-6B681EB101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9ed4f0-8c08-4992-bf94-7656ac993537"/>
    <ds:schemaRef ds:uri="d2fc84e5-cbd7-448b-b693-44fd3dac58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Totals</vt:lpstr>
      <vt:lpstr>WE 05-03</vt:lpstr>
      <vt:lpstr>WE 05-10</vt:lpstr>
      <vt:lpstr>WE 05-17</vt:lpstr>
      <vt:lpstr>WE 05-24</vt:lpstr>
      <vt:lpstr>WE 05-31</vt:lpstr>
      <vt:lpstr>'WE 05-03'!Print_Area</vt:lpstr>
      <vt:lpstr>'WE 05-10'!Print_Area</vt:lpstr>
      <vt:lpstr>'WE 05-17'!Print_Area</vt:lpstr>
      <vt:lpstr>'WE 05-24'!Print_Area</vt:lpstr>
      <vt:lpstr>'WE 05-31'!Print_Area</vt:lpstr>
    </vt:vector>
  </TitlesOfParts>
  <Manager/>
  <Company>Howard County Public Schools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Desiree Anson</dc:creator>
  <cp:keywords/>
  <dc:description/>
  <cp:lastModifiedBy>Saravanan Swaminathan</cp:lastModifiedBy>
  <cp:revision/>
  <cp:lastPrinted>2022-03-31T19:46:36Z</cp:lastPrinted>
  <dcterms:created xsi:type="dcterms:W3CDTF">2020-03-16T12:29:03Z</dcterms:created>
  <dcterms:modified xsi:type="dcterms:W3CDTF">2026-05-29T19:45:16Z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0x0101005B8420BC62479E438D61342B251A42BD</vt:lpwstr>
  </property>
</Properties>
</file>