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hcpss-my.sharepoint.com/personal/emorris2_hcpss_org/Documents/Documents/Time Cards/"/>
    </mc:Choice>
  </mc:AlternateContent>
  <xr:revisionPtr revIDLastSave="5" documentId="8_{83A5FEAA-97DB-4FDB-9BF0-2E40B16A06FD}" xr6:coauthVersionLast="47" xr6:coauthVersionMax="47" xr10:uidLastSave="{AB831961-2C77-4603-9F72-48BC5FAA9651}"/>
  <bookViews>
    <workbookView xWindow="-120" yWindow="-120" windowWidth="29040" windowHeight="15720" xr2:uid="{00000000-000D-0000-FFFF-FFFF00000000}"/>
  </bookViews>
  <sheets>
    <sheet name="Totals" sheetId="6" r:id="rId1"/>
    <sheet name="week 1" sheetId="2" r:id="rId2"/>
    <sheet name="week 2" sheetId="1" r:id="rId3"/>
    <sheet name="week 3" sheetId="5" r:id="rId4"/>
    <sheet name="week 4" sheetId="4" r:id="rId5"/>
    <sheet name="week 5 if applicable" sheetId="7" r:id="rId6"/>
  </sheets>
  <definedNames>
    <definedName name="_xlnm.Print_Area" localSheetId="1">'week 1'!$A$1:$J$25</definedName>
    <definedName name="_xlnm.Print_Area" localSheetId="2">'week 2'!$A$1:$J$25</definedName>
    <definedName name="_xlnm.Print_Area" localSheetId="3">'week 3'!$A$1:$J$25</definedName>
    <definedName name="_xlnm.Print_Area" localSheetId="4">'week 4'!$A$1:$J$25</definedName>
    <definedName name="_xlnm.Print_Area" localSheetId="5">'week 5 if applicable'!$A$1:$J$25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" l="1"/>
  <c r="G13" i="2"/>
  <c r="G14" i="2"/>
  <c r="G15" i="2"/>
  <c r="G11" i="2"/>
  <c r="I18" i="7"/>
  <c r="H18" i="7"/>
  <c r="G17" i="7"/>
  <c r="J17" i="7" s="1"/>
  <c r="G16" i="7"/>
  <c r="J16" i="7" s="1"/>
  <c r="G15" i="7"/>
  <c r="J15" i="7" s="1"/>
  <c r="G14" i="7"/>
  <c r="J14" i="7" s="1"/>
  <c r="G13" i="7"/>
  <c r="J13" i="7" s="1"/>
  <c r="G12" i="7"/>
  <c r="J12" i="7" s="1"/>
  <c r="G11" i="7"/>
  <c r="G17" i="5"/>
  <c r="G16" i="5"/>
  <c r="G15" i="5"/>
  <c r="G14" i="5"/>
  <c r="G13" i="5"/>
  <c r="G12" i="5"/>
  <c r="G11" i="5"/>
  <c r="G18" i="7" l="1"/>
  <c r="J11" i="7"/>
  <c r="J18" i="7" s="1"/>
  <c r="G18" i="5"/>
  <c r="J14" i="5"/>
  <c r="J15" i="5"/>
  <c r="J16" i="5"/>
  <c r="I18" i="5"/>
  <c r="H18" i="5"/>
  <c r="J17" i="5"/>
  <c r="J13" i="5"/>
  <c r="J12" i="5"/>
  <c r="I18" i="4"/>
  <c r="H18" i="4"/>
  <c r="G17" i="4"/>
  <c r="J17" i="4" s="1"/>
  <c r="G16" i="4"/>
  <c r="J16" i="4" s="1"/>
  <c r="G15" i="4"/>
  <c r="J15" i="4" s="1"/>
  <c r="G14" i="4"/>
  <c r="J14" i="4" s="1"/>
  <c r="G13" i="4"/>
  <c r="J13" i="4" s="1"/>
  <c r="G12" i="4"/>
  <c r="J12" i="4" s="1"/>
  <c r="G11" i="4"/>
  <c r="I18" i="2"/>
  <c r="H18" i="2"/>
  <c r="G17" i="2"/>
  <c r="J17" i="2" s="1"/>
  <c r="G16" i="2"/>
  <c r="J16" i="2" s="1"/>
  <c r="J15" i="2"/>
  <c r="J14" i="2"/>
  <c r="J13" i="2"/>
  <c r="J12" i="2"/>
  <c r="C12" i="2"/>
  <c r="C13" i="2" s="1"/>
  <c r="C14" i="2" s="1"/>
  <c r="C15" i="2" s="1"/>
  <c r="B6" i="6" l="1"/>
  <c r="C16" i="2"/>
  <c r="C17" i="2" s="1"/>
  <c r="C11" i="1" s="1"/>
  <c r="G18" i="2"/>
  <c r="G18" i="4"/>
  <c r="B4" i="6"/>
  <c r="J11" i="5"/>
  <c r="J18" i="5" s="1"/>
  <c r="J11" i="4"/>
  <c r="J18" i="4" s="1"/>
  <c r="J11" i="2"/>
  <c r="A2" i="6" l="1"/>
  <c r="A3" i="6" s="1"/>
  <c r="A4" i="6" s="1"/>
  <c r="A5" i="6" s="1"/>
  <c r="A6" i="6" s="1"/>
  <c r="J22" i="2"/>
  <c r="J22" i="4" s="1"/>
  <c r="I4" i="2"/>
  <c r="J18" i="2"/>
  <c r="B2" i="6"/>
  <c r="B5" i="6"/>
  <c r="G12" i="1"/>
  <c r="G13" i="1"/>
  <c r="G14" i="1"/>
  <c r="G15" i="1"/>
  <c r="G16" i="1"/>
  <c r="G17" i="1"/>
  <c r="J22" i="1" l="1"/>
  <c r="J22" i="7"/>
  <c r="J22" i="5"/>
  <c r="G11" i="1"/>
  <c r="I18" i="1" l="1"/>
  <c r="H18" i="1"/>
  <c r="J17" i="1"/>
  <c r="J16" i="1"/>
  <c r="J15" i="1"/>
  <c r="J14" i="1"/>
  <c r="J13" i="1"/>
  <c r="J12" i="1"/>
  <c r="C12" i="1"/>
  <c r="C13" i="1" s="1"/>
  <c r="C14" i="1" s="1"/>
  <c r="C15" i="1" s="1"/>
  <c r="C16" i="1" s="1"/>
  <c r="C17" i="1" s="1"/>
  <c r="C11" i="5" s="1"/>
  <c r="C12" i="5" s="1"/>
  <c r="C13" i="5" s="1"/>
  <c r="C14" i="5" s="1"/>
  <c r="C15" i="5" s="1"/>
  <c r="C16" i="5" s="1"/>
  <c r="C17" i="5" s="1"/>
  <c r="J11" i="1"/>
  <c r="C11" i="4" l="1"/>
  <c r="C12" i="4" s="1"/>
  <c r="C13" i="4" s="1"/>
  <c r="C14" i="4" s="1"/>
  <c r="C15" i="4" s="1"/>
  <c r="C16" i="4" s="1"/>
  <c r="C17" i="4" s="1"/>
  <c r="C11" i="7" s="1"/>
  <c r="C12" i="7" s="1"/>
  <c r="C13" i="7" s="1"/>
  <c r="C14" i="7" s="1"/>
  <c r="C15" i="7" s="1"/>
  <c r="C16" i="7" s="1"/>
  <c r="C17" i="7" s="1"/>
  <c r="I4" i="7" s="1"/>
  <c r="I4" i="5"/>
  <c r="I4" i="1"/>
  <c r="J18" i="1"/>
  <c r="G18" i="1"/>
  <c r="B3" i="6" l="1"/>
  <c r="I4" i="4"/>
  <c r="B8" i="6" l="1"/>
</calcChain>
</file>

<file path=xl/sharedStrings.xml><?xml version="1.0" encoding="utf-8"?>
<sst xmlns="http://schemas.openxmlformats.org/spreadsheetml/2006/main" count="172" uniqueCount="36">
  <si>
    <t>Weekly Time Record</t>
  </si>
  <si>
    <t>14159A Robert Paris Court</t>
  </si>
  <si>
    <t>Week Ending</t>
  </si>
  <si>
    <t>Chantilly, VA 20151</t>
  </si>
  <si>
    <t xml:space="preserve">Desiree Anson </t>
  </si>
  <si>
    <t>Phone:</t>
  </si>
  <si>
    <t>703-232-1567</t>
  </si>
  <si>
    <t>des.anson@gmail.com</t>
  </si>
  <si>
    <t>Timesheets@ajace.com</t>
  </si>
  <si>
    <t>(410) 300-9217</t>
  </si>
  <si>
    <t>Day</t>
  </si>
  <si>
    <t>Date</t>
  </si>
  <si>
    <t>In</t>
  </si>
  <si>
    <t>Out</t>
  </si>
  <si>
    <t>Time out (HH:MM)</t>
  </si>
  <si>
    <t>Regular (billable) Hrs.</t>
  </si>
  <si>
    <t>Sick Hrs. (nonbillable)</t>
  </si>
  <si>
    <t>Vacation Hrs. (nonbillable)</t>
  </si>
  <si>
    <t>Total Hrs.</t>
  </si>
  <si>
    <t>Monday</t>
  </si>
  <si>
    <t>Tuesday</t>
  </si>
  <si>
    <t>Wednesday</t>
  </si>
  <si>
    <t>Thursday</t>
  </si>
  <si>
    <t>Friday</t>
  </si>
  <si>
    <t>Saturday</t>
  </si>
  <si>
    <t>Sunday</t>
  </si>
  <si>
    <t>Employee signature</t>
  </si>
  <si>
    <t>Manager signature</t>
  </si>
  <si>
    <t>Desiree Anson</t>
  </si>
  <si>
    <t>Total Hours</t>
  </si>
  <si>
    <t>Month Total:</t>
  </si>
  <si>
    <t>Notes</t>
  </si>
  <si>
    <t>Eric Morris</t>
  </si>
  <si>
    <t>Memorial Day</t>
  </si>
  <si>
    <t>ill</t>
  </si>
  <si>
    <t>Personal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</si>
</sst>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3" formatCode="_(* #,##0.00_);_(* \(#,##0.00\);_(* &quot;-&quot;??_);_(@_)"/>
    <numFmt numFmtId="164" formatCode="[&lt;=9999999]###\-####;\(###&quot;) &quot;###\-####"/>
    <numFmt numFmtId="165" formatCode="[$-409]h:mm\ AM/PM;@"/>
    <numFmt numFmtId="166" formatCode="_(\$* #,##0.00_);_(\$* \(#,##0.00\);_(\$* \-??_);_(@_)"/>
    <numFmt numFmtId="167" formatCode="\$#,##0.00_);&quot;($&quot;#,##0.00\)"/>
    <numFmt numFmtId="168" formatCode="[$-F800]dddd\,\ mmmm\ dd\,\ yyyy"/>
  </numFmts>
  <fonts count="16"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22"/>
      <color indexed="22"/>
      <name val="Century Gothic"/>
      <family val="2"/>
    </font>
    <font>
      <b/>
      <sz val="22"/>
      <name val="Century Gothic"/>
      <family val="2"/>
    </font>
    <font>
      <b/>
      <sz val="22"/>
      <color indexed="63"/>
      <name val="Century Gothic"/>
      <family val="2"/>
    </font>
    <font>
      <sz val="9"/>
      <color indexed="55"/>
      <name val="Century Gothic"/>
      <family val="2"/>
    </font>
    <font>
      <sz val="9"/>
      <name val="Century Gothic"/>
      <family val="2"/>
    </font>
    <font>
      <u/>
      <sz val="10"/>
      <color indexed="24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4"/>
      <name val="Century Gothic"/>
      <family val="2"/>
    </font>
    <font>
      <sz val="10"/>
      <color indexed="55"/>
      <name val="Century Gothic"/>
      <family val="2"/>
    </font>
    <font>
      <b/>
      <sz val="10"/>
      <name val="Century Gothic"/>
      <family val="2"/>
    </font>
    <font>
      <b/>
      <sz val="10"/>
      <name val="Arial"/>
      <family val="2"/>
    </font>
    <font>
      <sz val="10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 tint="-4.9989318521683403E-2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27"/>
        <bgColor indexed="42"/>
      </patternFill>
    </fill>
    <fill>
      <patternFill patternType="solid">
        <fgColor indexed="26"/>
        <bgColor indexed="42"/>
      </patternFill>
    </fill>
    <fill>
      <patternFill patternType="solid">
        <fgColor indexed="41"/>
        <bgColor indexed="2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theme="0" tint="-0.34998626667073579"/>
      </right>
      <top style="thin">
        <color indexed="55"/>
      </top>
      <bottom/>
      <diagonal/>
    </border>
    <border>
      <left style="thin">
        <color indexed="55"/>
      </left>
      <right style="thin">
        <color theme="0" tint="-0.34998626667073579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 style="thin">
        <color indexed="55"/>
      </left>
      <right/>
      <top/>
      <bottom style="thin">
        <color indexed="55"/>
      </bottom>
      <diagonal/>
    </border>
  </borders>
  <cellStyleXfs count="4">
    <xf numFmtId="0" fontId="0" fillId="0" borderId="0"/>
    <xf numFmtId="166" fontId="1" fillId="0" borderId="0" applyFill="0" applyBorder="0" applyAlignment="0" applyProtection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 indent="5"/>
      <protection locked="0"/>
    </xf>
    <xf numFmtId="0" fontId="2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 indent="5"/>
      <protection locked="0"/>
    </xf>
    <xf numFmtId="0" fontId="6" fillId="0" borderId="0" xfId="0" applyFont="1" applyAlignment="1" applyProtection="1">
      <alignment horizontal="left"/>
      <protection locked="0"/>
    </xf>
    <xf numFmtId="0" fontId="8" fillId="0" borderId="0" xfId="2" applyNumberFormat="1" applyFill="1" applyBorder="1" applyAlignment="1" applyProtection="1">
      <protection locked="0"/>
    </xf>
    <xf numFmtId="0" fontId="7" fillId="0" borderId="0" xfId="2" applyNumberFormat="1" applyFont="1" applyFill="1" applyBorder="1" applyAlignment="1" applyProtection="1">
      <protection locked="0"/>
    </xf>
    <xf numFmtId="0" fontId="9" fillId="3" borderId="2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9" fillId="3" borderId="2" xfId="0" applyFont="1" applyFill="1" applyBorder="1" applyAlignment="1" applyProtection="1">
      <alignment horizontal="center" vertical="center" wrapText="1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left" vertical="center"/>
      <protection locked="0"/>
    </xf>
    <xf numFmtId="14" fontId="7" fillId="0" borderId="2" xfId="0" applyNumberFormat="1" applyFont="1" applyBorder="1" applyAlignment="1" applyProtection="1">
      <alignment horizontal="left" vertical="center"/>
      <protection locked="0"/>
    </xf>
    <xf numFmtId="165" fontId="10" fillId="0" borderId="2" xfId="0" applyNumberFormat="1" applyFont="1" applyBorder="1" applyAlignment="1" applyProtection="1">
      <alignment horizontal="center" vertical="center"/>
      <protection locked="0"/>
    </xf>
    <xf numFmtId="20" fontId="10" fillId="0" borderId="5" xfId="0" applyNumberFormat="1" applyFont="1" applyBorder="1" applyAlignment="1" applyProtection="1">
      <alignment horizontal="center" vertical="center"/>
      <protection locked="0"/>
    </xf>
    <xf numFmtId="2" fontId="10" fillId="0" borderId="2" xfId="0" applyNumberFormat="1" applyFont="1" applyBorder="1" applyAlignment="1">
      <alignment horizontal="center" vertical="center"/>
    </xf>
    <xf numFmtId="0" fontId="10" fillId="0" borderId="3" xfId="0" applyFont="1" applyBorder="1" applyAlignment="1" applyProtection="1">
      <alignment horizontal="center" vertical="center"/>
      <protection locked="0"/>
    </xf>
    <xf numFmtId="2" fontId="7" fillId="0" borderId="6" xfId="0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2" fontId="7" fillId="0" borderId="7" xfId="0" applyNumberFormat="1" applyFont="1" applyBorder="1" applyAlignment="1" applyProtection="1">
      <alignment horizontal="center" vertical="center"/>
      <protection locked="0"/>
    </xf>
    <xf numFmtId="14" fontId="2" fillId="0" borderId="0" xfId="0" applyNumberFormat="1" applyFont="1" applyProtection="1">
      <protection locked="0"/>
    </xf>
    <xf numFmtId="2" fontId="2" fillId="0" borderId="0" xfId="0" applyNumberFormat="1" applyFont="1" applyAlignment="1" applyProtection="1">
      <alignment horizontal="left"/>
      <protection locked="0"/>
    </xf>
    <xf numFmtId="2" fontId="11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2" fontId="2" fillId="0" borderId="8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9" fillId="4" borderId="2" xfId="0" applyFont="1" applyFill="1" applyBorder="1" applyAlignment="1" applyProtection="1">
      <alignment horizontal="left" vertical="center"/>
      <protection locked="0"/>
    </xf>
    <xf numFmtId="167" fontId="10" fillId="5" borderId="2" xfId="1" applyNumberFormat="1" applyFont="1" applyFill="1" applyBorder="1" applyAlignment="1" applyProtection="1">
      <alignment horizontal="center" vertical="center"/>
      <protection locked="0"/>
    </xf>
    <xf numFmtId="167" fontId="10" fillId="6" borderId="2" xfId="1" applyNumberFormat="1" applyFont="1" applyFill="1" applyBorder="1" applyAlignment="1" applyProtection="1">
      <alignment horizontal="center" vertical="center"/>
      <protection locked="0"/>
    </xf>
    <xf numFmtId="0" fontId="0" fillId="4" borderId="8" xfId="0" applyFill="1" applyBorder="1" applyProtection="1">
      <protection locked="0"/>
    </xf>
    <xf numFmtId="167" fontId="10" fillId="7" borderId="2" xfId="1" applyNumberFormat="1" applyFont="1" applyFill="1" applyBorder="1" applyAlignment="1" applyProtection="1">
      <alignment horizontal="center" vertical="center"/>
    </xf>
    <xf numFmtId="2" fontId="10" fillId="7" borderId="2" xfId="1" applyNumberFormat="1" applyFont="1" applyFill="1" applyBorder="1" applyAlignment="1" applyProtection="1">
      <alignment horizontal="center" vertical="center"/>
    </xf>
    <xf numFmtId="0" fontId="2" fillId="0" borderId="1" xfId="0" applyFont="1" applyBorder="1" applyProtection="1">
      <protection locked="0"/>
    </xf>
    <xf numFmtId="14" fontId="7" fillId="0" borderId="1" xfId="0" applyNumberFormat="1" applyFont="1" applyBorder="1" applyAlignment="1" applyProtection="1">
      <alignment horizontal="left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12" fillId="0" borderId="0" xfId="0" applyFont="1" applyProtection="1"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43" fontId="2" fillId="0" borderId="0" xfId="3" applyFont="1" applyAlignment="1" applyProtection="1">
      <alignment vertical="top"/>
      <protection locked="0"/>
    </xf>
    <xf numFmtId="43" fontId="13" fillId="0" borderId="0" xfId="0" applyNumberFormat="1" applyFont="1" applyProtection="1">
      <protection locked="0"/>
    </xf>
    <xf numFmtId="16" fontId="2" fillId="0" borderId="0" xfId="0" applyNumberFormat="1" applyFont="1" applyProtection="1">
      <protection locked="0"/>
    </xf>
    <xf numFmtId="2" fontId="2" fillId="0" borderId="0" xfId="0" applyNumberFormat="1" applyFont="1" applyProtection="1">
      <protection locked="0"/>
    </xf>
    <xf numFmtId="2" fontId="2" fillId="0" borderId="0" xfId="0" applyNumberFormat="1" applyFont="1" applyAlignment="1" applyProtection="1">
      <alignment horizontal="left" vertical="top"/>
      <protection locked="0"/>
    </xf>
    <xf numFmtId="0" fontId="9" fillId="0" borderId="8" xfId="0" applyFont="1" applyBorder="1" applyAlignment="1" applyProtection="1">
      <alignment horizontal="left" vertical="center"/>
      <protection locked="0"/>
    </xf>
    <xf numFmtId="14" fontId="7" fillId="0" borderId="8" xfId="0" applyNumberFormat="1" applyFont="1" applyBorder="1" applyAlignment="1" applyProtection="1">
      <alignment horizontal="left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14" fontId="2" fillId="0" borderId="0" xfId="0" applyNumberFormat="1" applyFont="1" applyAlignment="1" applyProtection="1">
      <alignment horizontal="right" vertical="top"/>
      <protection locked="0"/>
    </xf>
    <xf numFmtId="16" fontId="0" fillId="0" borderId="0" xfId="0" applyNumberFormat="1"/>
    <xf numFmtId="0" fontId="14" fillId="0" borderId="0" xfId="0" applyFont="1"/>
    <xf numFmtId="2" fontId="0" fillId="0" borderId="0" xfId="0" applyNumberFormat="1"/>
    <xf numFmtId="2" fontId="14" fillId="0" borderId="0" xfId="0" applyNumberFormat="1" applyFont="1"/>
    <xf numFmtId="14" fontId="2" fillId="0" borderId="0" xfId="0" applyNumberFormat="1" applyFont="1" applyAlignment="1" applyProtection="1">
      <alignment horizontal="left" vertical="top"/>
      <protection locked="0"/>
    </xf>
    <xf numFmtId="0" fontId="9" fillId="8" borderId="2" xfId="0" applyFont="1" applyFill="1" applyBorder="1" applyAlignment="1" applyProtection="1">
      <alignment horizontal="left" vertical="center"/>
      <protection locked="0"/>
    </xf>
    <xf numFmtId="14" fontId="7" fillId="8" borderId="2" xfId="0" applyNumberFormat="1" applyFont="1" applyFill="1" applyBorder="1" applyAlignment="1" applyProtection="1">
      <alignment horizontal="left" vertical="center"/>
      <protection locked="0"/>
    </xf>
    <xf numFmtId="165" fontId="10" fillId="8" borderId="2" xfId="0" applyNumberFormat="1" applyFont="1" applyFill="1" applyBorder="1" applyAlignment="1" applyProtection="1">
      <alignment horizontal="center" vertical="center"/>
      <protection locked="0"/>
    </xf>
    <xf numFmtId="20" fontId="10" fillId="8" borderId="5" xfId="0" applyNumberFormat="1" applyFont="1" applyFill="1" applyBorder="1" applyAlignment="1" applyProtection="1">
      <alignment horizontal="center" vertical="center"/>
      <protection locked="0"/>
    </xf>
    <xf numFmtId="2" fontId="10" fillId="8" borderId="2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 applyProtection="1">
      <alignment horizontal="center" vertical="center"/>
      <protection locked="0"/>
    </xf>
    <xf numFmtId="0" fontId="10" fillId="8" borderId="3" xfId="0" applyFont="1" applyFill="1" applyBorder="1" applyAlignment="1" applyProtection="1">
      <alignment horizontal="center" vertical="center"/>
      <protection locked="0"/>
    </xf>
    <xf numFmtId="2" fontId="7" fillId="8" borderId="7" xfId="0" applyNumberFormat="1" applyFont="1" applyFill="1" applyBorder="1" applyAlignment="1" applyProtection="1">
      <alignment horizontal="center" vertical="center"/>
      <protection locked="0"/>
    </xf>
    <xf numFmtId="166" fontId="1" fillId="0" borderId="0" xfId="1"/>
    <xf numFmtId="43" fontId="0" fillId="0" borderId="0" xfId="0" applyNumberFormat="1"/>
    <xf numFmtId="2" fontId="1" fillId="0" borderId="0" xfId="1" applyNumberFormat="1"/>
    <xf numFmtId="43" fontId="1" fillId="0" borderId="0" xfId="3"/>
    <xf numFmtId="166" fontId="1" fillId="0" borderId="0" xfId="1" applyBorder="1"/>
    <xf numFmtId="165" fontId="10" fillId="9" borderId="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43" fontId="2" fillId="0" borderId="0" xfId="3" applyFont="1" applyFill="1" applyAlignment="1" applyProtection="1">
      <alignment vertical="top"/>
      <protection locked="0"/>
    </xf>
    <xf numFmtId="168" fontId="2" fillId="0" borderId="0" xfId="0" applyNumberFormat="1" applyFont="1" applyProtection="1">
      <protection locked="0"/>
    </xf>
    <xf numFmtId="168" fontId="13" fillId="0" borderId="0" xfId="0" applyNumberFormat="1" applyFont="1" applyProtection="1">
      <protection locked="0"/>
    </xf>
    <xf numFmtId="14" fontId="15" fillId="0" borderId="0" xfId="0" applyNumberFormat="1" applyFont="1"/>
    <xf numFmtId="14" fontId="7" fillId="0" borderId="0" xfId="0" applyNumberFormat="1" applyFont="1" applyProtection="1">
      <protection locked="0"/>
    </xf>
    <xf numFmtId="0" fontId="1" fillId="0" borderId="0" xfId="1" applyNumberFormat="1"/>
    <xf numFmtId="2" fontId="1" fillId="0" borderId="0" xfId="3" applyNumberFormat="1"/>
    <xf numFmtId="8" fontId="0" fillId="0" borderId="0" xfId="0" applyNumberFormat="1"/>
    <xf numFmtId="14" fontId="2" fillId="0" borderId="0" xfId="0" applyNumberFormat="1" applyFont="1" applyAlignment="1" applyProtection="1">
      <alignment horizontal="left"/>
      <protection locked="0"/>
    </xf>
    <xf numFmtId="14" fontId="2" fillId="0" borderId="0" xfId="0" applyNumberFormat="1" applyFont="1" applyAlignment="1" applyProtection="1">
      <alignment horizontal="left" vertical="center"/>
      <protection locked="0"/>
    </xf>
    <xf numFmtId="2" fontId="2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left"/>
      <protection locked="0"/>
    </xf>
    <xf numFmtId="14" fontId="7" fillId="0" borderId="1" xfId="0" applyNumberFormat="1" applyFont="1" applyBorder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8" fillId="0" borderId="0" xfId="2" applyFill="1" applyBorder="1" applyAlignment="1" applyProtection="1">
      <alignment horizontal="left"/>
      <protection locked="0"/>
    </xf>
    <xf numFmtId="164" fontId="7" fillId="0" borderId="0" xfId="0" applyNumberFormat="1" applyFont="1" applyAlignment="1" applyProtection="1">
      <alignment horizontal="left"/>
      <protection locked="0"/>
    </xf>
    <xf numFmtId="0" fontId="8" fillId="0" borderId="0" xfId="2" applyNumberFormat="1" applyFill="1" applyBorder="1" applyAlignment="1" applyProtection="1">
      <alignment horizontal="left"/>
      <protection locked="0"/>
    </xf>
    <xf numFmtId="0" fontId="7" fillId="0" borderId="0" xfId="2" applyNumberFormat="1" applyFont="1" applyFill="1" applyBorder="1" applyAlignment="1" applyProtection="1">
      <alignment horizontal="left"/>
      <protection locked="0"/>
    </xf>
  </cellXfs>
  <cellStyles count="4">
    <cellStyle name="Comma" xfId="3" builtinId="3"/>
    <cellStyle name="Currency" xfId="1" builtinId="4"/>
    <cellStyle name="Hyperlink" xfId="2" builtinId="8"/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66675</xdr:colOff>
      <xdr:row>1</xdr:row>
      <xdr:rowOff>19050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2D24BFB-E78E-44CF-8951-C3422D72C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828675</xdr:colOff>
      <xdr:row>1</xdr:row>
      <xdr:rowOff>19050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0"/>
          <a:ext cx="18097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835025</xdr:colOff>
      <xdr:row>1</xdr:row>
      <xdr:rowOff>19050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B845C40-F59A-49F9-98D9-DB7ECC6F9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854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835025</xdr:colOff>
      <xdr:row>1</xdr:row>
      <xdr:rowOff>19050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20D947F-04AD-45FF-B50D-645F8C4F1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835025</xdr:colOff>
      <xdr:row>1</xdr:row>
      <xdr:rowOff>19050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99CDEDA-F253-4114-8658-CE068C264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863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des.anson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des.anson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des.anson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des.anson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des.anson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257F-18F0-44FC-B90A-CF935B280461}">
  <dimension ref="A1:K15"/>
  <sheetViews>
    <sheetView tabSelected="1" workbookViewId="0"/>
  </sheetViews>
  <sheetFormatPr defaultRowHeight="12.75"/>
  <cols>
    <col min="1" max="1" width="13.140625" bestFit="1" customWidth="1"/>
    <col min="2" max="2" width="10.85546875" bestFit="1" customWidth="1"/>
    <col min="3" max="3" width="14.42578125" bestFit="1" customWidth="1"/>
    <col min="4" max="4" width="14.85546875" bestFit="1" customWidth="1"/>
    <col min="5" max="5" width="15.85546875" bestFit="1" customWidth="1"/>
    <col min="6" max="6" width="14.42578125" style="65" bestFit="1" customWidth="1"/>
    <col min="7" max="7" width="11.140625" bestFit="1" customWidth="1"/>
    <col min="8" max="8" width="11.140625" customWidth="1"/>
    <col min="9" max="9" width="11.85546875" style="65" bestFit="1" customWidth="1"/>
    <col min="10" max="10" width="11.28515625" bestFit="1" customWidth="1"/>
    <col min="11" max="11" width="10.28515625" bestFit="1" customWidth="1"/>
  </cols>
  <sheetData>
    <row r="1" spans="1:11">
      <c r="A1" s="53" t="s">
        <v>2</v>
      </c>
      <c r="B1" s="53" t="s">
        <v>29</v>
      </c>
      <c r="C1" s="53" t="s">
        <v>31</v>
      </c>
      <c r="D1" s="53"/>
      <c r="E1" s="53"/>
      <c r="G1" s="53"/>
      <c r="H1" s="53"/>
    </row>
    <row r="2" spans="1:11">
      <c r="A2" s="52">
        <f>'week 1'!C17</f>
        <v>46145</v>
      </c>
      <c r="B2" s="54">
        <f>'week 1'!G18</f>
        <v>9.0000000000000018</v>
      </c>
      <c r="C2" s="65"/>
      <c r="F2" s="54"/>
      <c r="G2" s="54"/>
      <c r="H2" s="54"/>
      <c r="J2" s="54"/>
    </row>
    <row r="3" spans="1:11">
      <c r="A3" s="52">
        <f t="shared" ref="A3:A6" si="0">A2+7</f>
        <v>46152</v>
      </c>
      <c r="B3" s="54">
        <f>'week 2'!G18</f>
        <v>35</v>
      </c>
      <c r="C3" s="65"/>
      <c r="F3" s="54"/>
      <c r="G3" s="54"/>
      <c r="H3" s="54"/>
      <c r="J3" s="54"/>
    </row>
    <row r="4" spans="1:11">
      <c r="A4" s="52">
        <f t="shared" si="0"/>
        <v>46159</v>
      </c>
      <c r="B4" s="54">
        <f>'week 3'!G18</f>
        <v>40</v>
      </c>
      <c r="C4" s="65"/>
      <c r="F4" s="54"/>
      <c r="G4" s="54"/>
      <c r="H4" s="54"/>
      <c r="J4" s="54"/>
      <c r="K4" s="66"/>
    </row>
    <row r="5" spans="1:11">
      <c r="A5" s="52">
        <f t="shared" si="0"/>
        <v>46166</v>
      </c>
      <c r="B5" s="54">
        <f>'week 4'!G18</f>
        <v>36.5</v>
      </c>
      <c r="C5" s="65"/>
      <c r="F5" s="54"/>
      <c r="G5" s="54"/>
      <c r="H5" s="54"/>
      <c r="J5" s="54"/>
    </row>
    <row r="6" spans="1:11">
      <c r="A6" s="52">
        <f t="shared" si="0"/>
        <v>46173</v>
      </c>
      <c r="B6" s="54">
        <f>'week 5 if applicable'!G18</f>
        <v>27</v>
      </c>
      <c r="C6" s="65"/>
      <c r="F6" s="54"/>
      <c r="G6" s="54"/>
      <c r="H6" s="54"/>
      <c r="J6" s="54"/>
    </row>
    <row r="7" spans="1:11">
      <c r="C7" s="65"/>
      <c r="F7" s="67"/>
      <c r="G7" s="54"/>
      <c r="I7" s="68"/>
    </row>
    <row r="8" spans="1:11">
      <c r="A8" s="53" t="s">
        <v>30</v>
      </c>
      <c r="B8" s="55">
        <f>SUM(B2:B6)</f>
        <v>147.5</v>
      </c>
      <c r="C8" s="65"/>
      <c r="D8" s="55"/>
      <c r="E8" s="55"/>
      <c r="F8" s="67"/>
      <c r="G8" s="54"/>
      <c r="H8" s="78"/>
      <c r="I8" s="68"/>
      <c r="J8" s="77"/>
      <c r="K8" s="66"/>
    </row>
    <row r="9" spans="1:11">
      <c r="D9" s="65"/>
      <c r="E9" s="66"/>
      <c r="F9" s="69"/>
      <c r="G9" s="54"/>
    </row>
    <row r="10" spans="1:11">
      <c r="B10" s="54"/>
      <c r="D10" s="67"/>
      <c r="E10" s="67"/>
    </row>
    <row r="11" spans="1:11">
      <c r="B11" s="66"/>
      <c r="E11" s="66"/>
    </row>
    <row r="12" spans="1:11">
      <c r="C12" s="66"/>
    </row>
    <row r="15" spans="1:11">
      <c r="H15" s="79"/>
    </row>
  </sheetData>
  <conditionalFormatting sqref="J2:J6">
    <cfRule type="expression" dxfId="0" priority="1">
      <formula>"IF(NOW()&lt;A3)"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D1105-8107-4D6D-A8A3-4A5A9C7D2CBE}">
  <sheetPr>
    <tabColor indexed="55"/>
    <pageSetUpPr fitToPage="1"/>
  </sheetPr>
  <dimension ref="B1:P297"/>
  <sheetViews>
    <sheetView showGridLines="0" showZeros="0" topLeftCell="A9" zoomScaleNormal="100" workbookViewId="0">
      <selection activeCell="J24" sqref="J24"/>
    </sheetView>
  </sheetViews>
  <sheetFormatPr defaultColWidth="9.140625" defaultRowHeight="13.5"/>
  <cols>
    <col min="1" max="1" width="2.140625" style="1" customWidth="1"/>
    <col min="2" max="2" width="12.42578125" style="1" customWidth="1"/>
    <col min="3" max="3" width="13.7109375" style="1" customWidth="1"/>
    <col min="4" max="5" width="12.42578125" style="1" customWidth="1"/>
    <col min="6" max="6" width="12.28515625" style="1" customWidth="1"/>
    <col min="7" max="9" width="12.42578125" style="1" customWidth="1"/>
    <col min="10" max="10" width="12.5703125" style="1" customWidth="1"/>
    <col min="11" max="15" width="9.140625" style="1"/>
    <col min="16" max="16" width="31.28515625" style="1" bestFit="1" customWidth="1"/>
    <col min="17" max="16384" width="9.140625" style="1"/>
  </cols>
  <sheetData>
    <row r="1" spans="2:16" ht="34.5" customHeight="1">
      <c r="J1" s="2" t="s">
        <v>0</v>
      </c>
      <c r="P1" s="73"/>
    </row>
    <row r="2" spans="2:16" ht="31.5" customHeight="1">
      <c r="B2" s="84"/>
      <c r="C2" s="84"/>
      <c r="D2" s="84"/>
      <c r="E2" s="84"/>
      <c r="F2" s="3"/>
      <c r="P2" s="73"/>
    </row>
    <row r="3" spans="2:16" ht="14.25" customHeight="1">
      <c r="P3" s="73"/>
    </row>
    <row r="4" spans="2:16" ht="17.100000000000001" customHeight="1">
      <c r="B4" s="85" t="s">
        <v>1</v>
      </c>
      <c r="C4" s="85"/>
      <c r="D4" s="85"/>
      <c r="E4" s="85"/>
      <c r="H4" s="4" t="s">
        <v>2</v>
      </c>
      <c r="I4" s="86">
        <f>C17</f>
        <v>46145</v>
      </c>
      <c r="J4" s="86"/>
      <c r="P4" s="73"/>
    </row>
    <row r="5" spans="2:16" ht="17.100000000000001" customHeight="1">
      <c r="B5" s="85" t="s">
        <v>3</v>
      </c>
      <c r="C5" s="85"/>
      <c r="D5" s="85"/>
      <c r="E5" s="85"/>
      <c r="H5" s="5"/>
      <c r="I5" s="6"/>
      <c r="J5" s="6"/>
      <c r="P5" s="73"/>
    </row>
    <row r="6" spans="2:16" ht="17.100000000000001" customHeight="1">
      <c r="B6" s="85"/>
      <c r="C6" s="85"/>
      <c r="D6" s="85"/>
      <c r="E6" s="85"/>
      <c r="H6" s="7"/>
      <c r="I6" s="87" t="s">
        <v>4</v>
      </c>
      <c r="J6" s="87"/>
      <c r="P6" s="73"/>
    </row>
    <row r="7" spans="2:16" ht="17.100000000000001" customHeight="1">
      <c r="B7" s="8" t="s">
        <v>5</v>
      </c>
      <c r="C7" s="8" t="s">
        <v>6</v>
      </c>
      <c r="D7" s="87"/>
      <c r="E7" s="87"/>
      <c r="H7" s="7"/>
      <c r="I7" s="89" t="s">
        <v>7</v>
      </c>
      <c r="J7" s="87"/>
      <c r="P7" s="73"/>
    </row>
    <row r="8" spans="2:16" ht="17.100000000000001" customHeight="1">
      <c r="B8" s="9" t="s">
        <v>8</v>
      </c>
      <c r="C8" s="10"/>
      <c r="D8" s="87"/>
      <c r="E8" s="87"/>
      <c r="H8" s="7"/>
      <c r="I8" s="90" t="s">
        <v>9</v>
      </c>
      <c r="J8" s="90"/>
      <c r="P8" s="73"/>
    </row>
    <row r="9" spans="2:16" ht="17.100000000000001" customHeight="1">
      <c r="B9" s="8"/>
      <c r="C9" s="8"/>
      <c r="D9" s="87"/>
      <c r="E9" s="87"/>
      <c r="H9" s="7"/>
      <c r="I9" s="91"/>
      <c r="J9" s="92"/>
      <c r="P9" s="73"/>
    </row>
    <row r="10" spans="2:16" ht="40.5" customHeight="1">
      <c r="B10" s="11" t="s">
        <v>10</v>
      </c>
      <c r="C10" s="11" t="s">
        <v>11</v>
      </c>
      <c r="D10" s="11" t="s">
        <v>12</v>
      </c>
      <c r="E10" s="11" t="s">
        <v>13</v>
      </c>
      <c r="F10" s="12" t="s">
        <v>14</v>
      </c>
      <c r="G10" s="13" t="s">
        <v>15</v>
      </c>
      <c r="H10" s="13" t="s">
        <v>16</v>
      </c>
      <c r="I10" s="13" t="s">
        <v>17</v>
      </c>
      <c r="J10" s="14" t="s">
        <v>18</v>
      </c>
      <c r="P10" s="73"/>
    </row>
    <row r="11" spans="2:16" ht="21" customHeight="1">
      <c r="B11" s="15" t="s">
        <v>19</v>
      </c>
      <c r="C11" s="16">
        <v>46139</v>
      </c>
      <c r="D11" s="17"/>
      <c r="E11" s="17"/>
      <c r="F11" s="18"/>
      <c r="G11" s="19">
        <f t="shared" ref="G11:G15" si="0">((E11-D11)-F11)*24</f>
        <v>0</v>
      </c>
      <c r="H11" s="22"/>
      <c r="I11" s="20"/>
      <c r="J11" s="21">
        <f>SUM(G11:I11)</f>
        <v>0</v>
      </c>
      <c r="K11" s="45"/>
      <c r="P11" s="73"/>
    </row>
    <row r="12" spans="2:16" ht="21" customHeight="1">
      <c r="B12" s="15" t="s">
        <v>20</v>
      </c>
      <c r="C12" s="16">
        <f t="shared" ref="C12:C17" si="1">C11+1</f>
        <v>46140</v>
      </c>
      <c r="D12" s="17"/>
      <c r="E12" s="17"/>
      <c r="F12" s="18"/>
      <c r="G12" s="19">
        <f t="shared" si="0"/>
        <v>0</v>
      </c>
      <c r="H12" s="22"/>
      <c r="I12" s="20"/>
      <c r="J12" s="23">
        <f t="shared" ref="J12:J17" si="2">SUM(G12:I12)</f>
        <v>0</v>
      </c>
      <c r="K12" s="45"/>
      <c r="P12" s="73"/>
    </row>
    <row r="13" spans="2:16" ht="21" customHeight="1">
      <c r="B13" s="15" t="s">
        <v>21</v>
      </c>
      <c r="C13" s="16">
        <f t="shared" si="1"/>
        <v>46141</v>
      </c>
      <c r="D13" s="17"/>
      <c r="E13" s="17"/>
      <c r="F13" s="18"/>
      <c r="G13" s="19">
        <f t="shared" si="0"/>
        <v>0</v>
      </c>
      <c r="H13" s="22"/>
      <c r="I13" s="20"/>
      <c r="J13" s="23">
        <f t="shared" si="2"/>
        <v>0</v>
      </c>
      <c r="K13" s="45"/>
      <c r="P13" s="73"/>
    </row>
    <row r="14" spans="2:16" ht="21" customHeight="1">
      <c r="B14" s="47" t="s">
        <v>22</v>
      </c>
      <c r="C14" s="48">
        <f t="shared" si="1"/>
        <v>46142</v>
      </c>
      <c r="D14" s="17"/>
      <c r="E14" s="17"/>
      <c r="F14" s="18"/>
      <c r="G14" s="19">
        <f t="shared" si="0"/>
        <v>0</v>
      </c>
      <c r="H14" s="49"/>
      <c r="I14" s="50"/>
      <c r="J14" s="23">
        <f t="shared" si="2"/>
        <v>0</v>
      </c>
      <c r="K14" s="45"/>
      <c r="P14" s="73"/>
    </row>
    <row r="15" spans="2:16" ht="21" customHeight="1">
      <c r="B15" s="15" t="s">
        <v>23</v>
      </c>
      <c r="C15" s="16">
        <f t="shared" si="1"/>
        <v>46143</v>
      </c>
      <c r="D15" s="70">
        <v>0.33333333333333331</v>
      </c>
      <c r="E15" s="70">
        <v>0.70833333333333337</v>
      </c>
      <c r="F15" s="18"/>
      <c r="G15" s="19">
        <f t="shared" si="0"/>
        <v>9.0000000000000018</v>
      </c>
      <c r="H15" s="22"/>
      <c r="I15" s="20"/>
      <c r="J15" s="23">
        <f t="shared" si="2"/>
        <v>9.0000000000000018</v>
      </c>
      <c r="P15" s="73"/>
    </row>
    <row r="16" spans="2:16" ht="21" customHeight="1">
      <c r="B16" s="57" t="s">
        <v>24</v>
      </c>
      <c r="C16" s="58">
        <f t="shared" si="1"/>
        <v>46144</v>
      </c>
      <c r="D16" s="59"/>
      <c r="E16" s="59"/>
      <c r="F16" s="60"/>
      <c r="G16" s="61">
        <f t="shared" ref="G16:G17" si="3">((E16-D16)-F16)*24</f>
        <v>0</v>
      </c>
      <c r="H16" s="62"/>
      <c r="I16" s="63"/>
      <c r="J16" s="64">
        <f t="shared" si="2"/>
        <v>0</v>
      </c>
      <c r="P16" s="73"/>
    </row>
    <row r="17" spans="2:16" ht="21" customHeight="1">
      <c r="B17" s="57" t="s">
        <v>25</v>
      </c>
      <c r="C17" s="58">
        <f t="shared" si="1"/>
        <v>46145</v>
      </c>
      <c r="D17" s="59"/>
      <c r="E17" s="59"/>
      <c r="F17" s="60"/>
      <c r="G17" s="61">
        <f t="shared" si="3"/>
        <v>0</v>
      </c>
      <c r="H17" s="62"/>
      <c r="I17" s="63"/>
      <c r="J17" s="64">
        <f t="shared" si="2"/>
        <v>0</v>
      </c>
      <c r="P17" s="73"/>
    </row>
    <row r="18" spans="2:16" ht="21" customHeight="1">
      <c r="B18" s="24"/>
      <c r="C18" s="45"/>
      <c r="D18" s="25"/>
      <c r="F18" s="15" t="s">
        <v>18</v>
      </c>
      <c r="G18" s="26">
        <f>SUM(G11:G17)</f>
        <v>9.0000000000000018</v>
      </c>
      <c r="H18" s="27">
        <f>SUM(H11:H17)</f>
        <v>0</v>
      </c>
      <c r="I18" s="28">
        <f>SUM(I11:I17)</f>
        <v>0</v>
      </c>
      <c r="J18" s="29">
        <f>SUM(J11:J17)</f>
        <v>9.0000000000000018</v>
      </c>
      <c r="P18" s="73"/>
    </row>
    <row r="19" spans="2:16" ht="21" hidden="1" customHeight="1">
      <c r="B19" s="30"/>
      <c r="C19" s="30"/>
      <c r="E19" s="30"/>
      <c r="F19" s="31"/>
      <c r="G19" s="32"/>
      <c r="H19" s="32"/>
      <c r="I19" s="33"/>
      <c r="J19" s="34"/>
      <c r="P19" s="73"/>
    </row>
    <row r="20" spans="2:16" ht="21" hidden="1" customHeight="1">
      <c r="C20" s="6"/>
      <c r="F20" s="31"/>
      <c r="G20" s="35"/>
      <c r="H20" s="35"/>
      <c r="I20" s="35"/>
      <c r="J20" s="36"/>
      <c r="P20" s="73"/>
    </row>
    <row r="21" spans="2:16">
      <c r="B21" s="56"/>
      <c r="C21" s="46"/>
      <c r="D21"/>
      <c r="P21" s="73"/>
    </row>
    <row r="22" spans="2:16" ht="28.5" customHeight="1">
      <c r="B22" s="56"/>
      <c r="C22" s="71"/>
      <c r="D22" s="72"/>
      <c r="E22" s="30"/>
      <c r="F22" s="88" t="s">
        <v>28</v>
      </c>
      <c r="G22" s="88"/>
      <c r="H22" s="88"/>
      <c r="I22" s="37"/>
      <c r="J22" s="38">
        <f>EOMONTH(C17, 0)</f>
        <v>46173</v>
      </c>
      <c r="K22" s="76"/>
      <c r="L22" s="76"/>
      <c r="P22" s="73"/>
    </row>
    <row r="23" spans="2:16" ht="14.25">
      <c r="D23" s="43"/>
      <c r="F23" s="39" t="s">
        <v>26</v>
      </c>
      <c r="G23" s="40"/>
      <c r="J23" s="41" t="s">
        <v>11</v>
      </c>
      <c r="P23" s="73"/>
    </row>
    <row r="24" spans="2:16" ht="21" customHeight="1">
      <c r="B24" s="75"/>
      <c r="C24" s="25"/>
      <c r="F24" s="88" t="s">
        <v>32</v>
      </c>
      <c r="G24" s="88"/>
      <c r="H24" s="88"/>
      <c r="I24" s="37"/>
      <c r="J24" s="38">
        <v>46173</v>
      </c>
      <c r="P24" s="73"/>
    </row>
    <row r="25" spans="2:16" ht="14.25">
      <c r="C25" s="25"/>
      <c r="F25" s="39" t="s">
        <v>27</v>
      </c>
      <c r="G25" s="40"/>
      <c r="J25" s="41" t="s">
        <v>11</v>
      </c>
      <c r="P25" s="73"/>
    </row>
    <row r="26" spans="2:16">
      <c r="P26" s="73"/>
    </row>
    <row r="27" spans="2:16">
      <c r="C27" s="25"/>
      <c r="P27" s="73"/>
    </row>
    <row r="28" spans="2:16">
      <c r="C28" s="25"/>
      <c r="P28" s="73"/>
    </row>
    <row r="29" spans="2:16">
      <c r="P29" s="74"/>
    </row>
    <row r="30" spans="2:16">
      <c r="P30" s="73"/>
    </row>
    <row r="31" spans="2:16">
      <c r="P31" s="73"/>
    </row>
    <row r="32" spans="2:16">
      <c r="P32" s="73"/>
    </row>
    <row r="33" spans="16:16">
      <c r="P33" s="73"/>
    </row>
    <row r="34" spans="16:16">
      <c r="P34" s="73"/>
    </row>
    <row r="35" spans="16:16">
      <c r="P35" s="73"/>
    </row>
    <row r="36" spans="16:16">
      <c r="P36" s="73"/>
    </row>
    <row r="37" spans="16:16">
      <c r="P37" s="73"/>
    </row>
    <row r="38" spans="16:16">
      <c r="P38" s="73"/>
    </row>
    <row r="39" spans="16:16">
      <c r="P39" s="73"/>
    </row>
    <row r="40" spans="16:16">
      <c r="P40" s="73"/>
    </row>
    <row r="41" spans="16:16">
      <c r="P41" s="73"/>
    </row>
    <row r="42" spans="16:16">
      <c r="P42" s="73"/>
    </row>
    <row r="43" spans="16:16">
      <c r="P43" s="73"/>
    </row>
    <row r="44" spans="16:16">
      <c r="P44" s="73"/>
    </row>
    <row r="45" spans="16:16">
      <c r="P45" s="73"/>
    </row>
    <row r="46" spans="16:16">
      <c r="P46" s="73"/>
    </row>
    <row r="47" spans="16:16">
      <c r="P47" s="73"/>
    </row>
    <row r="48" spans="16:16">
      <c r="P48" s="73"/>
    </row>
    <row r="49" spans="16:16">
      <c r="P49" s="73"/>
    </row>
    <row r="50" spans="16:16">
      <c r="P50" s="73"/>
    </row>
    <row r="51" spans="16:16">
      <c r="P51" s="73"/>
    </row>
    <row r="52" spans="16:16">
      <c r="P52" s="73"/>
    </row>
    <row r="53" spans="16:16">
      <c r="P53" s="73"/>
    </row>
    <row r="54" spans="16:16">
      <c r="P54" s="73"/>
    </row>
    <row r="55" spans="16:16">
      <c r="P55" s="73"/>
    </row>
    <row r="56" spans="16:16">
      <c r="P56" s="73"/>
    </row>
    <row r="57" spans="16:16">
      <c r="P57" s="73"/>
    </row>
    <row r="58" spans="16:16">
      <c r="P58" s="73"/>
    </row>
    <row r="59" spans="16:16">
      <c r="P59" s="74"/>
    </row>
    <row r="60" spans="16:16">
      <c r="P60" s="73"/>
    </row>
    <row r="61" spans="16:16">
      <c r="P61" s="73"/>
    </row>
    <row r="62" spans="16:16">
      <c r="P62" s="73"/>
    </row>
    <row r="63" spans="16:16">
      <c r="P63" s="73"/>
    </row>
    <row r="64" spans="16:16">
      <c r="P64" s="73"/>
    </row>
    <row r="65" spans="16:16">
      <c r="P65" s="73"/>
    </row>
    <row r="66" spans="16:16">
      <c r="P66" s="73"/>
    </row>
    <row r="67" spans="16:16">
      <c r="P67" s="73"/>
    </row>
    <row r="68" spans="16:16">
      <c r="P68" s="73"/>
    </row>
    <row r="69" spans="16:16">
      <c r="P69" s="73"/>
    </row>
    <row r="70" spans="16:16">
      <c r="P70" s="73"/>
    </row>
    <row r="71" spans="16:16">
      <c r="P71" s="73"/>
    </row>
    <row r="72" spans="16:16">
      <c r="P72" s="73"/>
    </row>
    <row r="73" spans="16:16">
      <c r="P73" s="73"/>
    </row>
    <row r="74" spans="16:16">
      <c r="P74" s="73"/>
    </row>
    <row r="75" spans="16:16">
      <c r="P75" s="73"/>
    </row>
    <row r="76" spans="16:16">
      <c r="P76" s="73"/>
    </row>
    <row r="77" spans="16:16">
      <c r="P77" s="73"/>
    </row>
    <row r="78" spans="16:16">
      <c r="P78" s="73"/>
    </row>
    <row r="79" spans="16:16">
      <c r="P79" s="73"/>
    </row>
    <row r="80" spans="16:16">
      <c r="P80" s="73"/>
    </row>
    <row r="81" spans="16:16">
      <c r="P81" s="73"/>
    </row>
    <row r="82" spans="16:16">
      <c r="P82" s="73"/>
    </row>
    <row r="83" spans="16:16">
      <c r="P83" s="73"/>
    </row>
    <row r="84" spans="16:16">
      <c r="P84" s="73"/>
    </row>
    <row r="85" spans="16:16">
      <c r="P85" s="73"/>
    </row>
    <row r="86" spans="16:16">
      <c r="P86" s="73"/>
    </row>
    <row r="87" spans="16:16">
      <c r="P87" s="73"/>
    </row>
    <row r="88" spans="16:16">
      <c r="P88" s="73"/>
    </row>
    <row r="89" spans="16:16">
      <c r="P89" s="73"/>
    </row>
    <row r="90" spans="16:16">
      <c r="P90" s="74"/>
    </row>
    <row r="91" spans="16:16">
      <c r="P91" s="73"/>
    </row>
    <row r="92" spans="16:16">
      <c r="P92" s="73"/>
    </row>
    <row r="93" spans="16:16">
      <c r="P93" s="73"/>
    </row>
    <row r="94" spans="16:16">
      <c r="P94" s="73"/>
    </row>
    <row r="95" spans="16:16">
      <c r="P95" s="73"/>
    </row>
    <row r="96" spans="16:16">
      <c r="P96" s="73"/>
    </row>
    <row r="97" spans="16:16">
      <c r="P97" s="73"/>
    </row>
    <row r="98" spans="16:16">
      <c r="P98" s="73"/>
    </row>
    <row r="99" spans="16:16">
      <c r="P99" s="73"/>
    </row>
    <row r="100" spans="16:16">
      <c r="P100" s="73"/>
    </row>
    <row r="101" spans="16:16">
      <c r="P101" s="73"/>
    </row>
    <row r="102" spans="16:16">
      <c r="P102" s="73"/>
    </row>
    <row r="103" spans="16:16">
      <c r="P103" s="73"/>
    </row>
    <row r="104" spans="16:16">
      <c r="P104" s="73"/>
    </row>
    <row r="105" spans="16:16">
      <c r="P105" s="73"/>
    </row>
    <row r="106" spans="16:16">
      <c r="P106" s="73"/>
    </row>
    <row r="107" spans="16:16">
      <c r="P107" s="73"/>
    </row>
    <row r="108" spans="16:16">
      <c r="P108" s="73"/>
    </row>
    <row r="109" spans="16:16">
      <c r="P109" s="73"/>
    </row>
    <row r="110" spans="16:16">
      <c r="P110" s="73"/>
    </row>
    <row r="111" spans="16:16">
      <c r="P111" s="73"/>
    </row>
    <row r="112" spans="16:16">
      <c r="P112" s="73"/>
    </row>
    <row r="113" spans="16:16">
      <c r="P113" s="73"/>
    </row>
    <row r="114" spans="16:16">
      <c r="P114" s="73"/>
    </row>
    <row r="115" spans="16:16">
      <c r="P115" s="73"/>
    </row>
    <row r="116" spans="16:16">
      <c r="P116" s="73"/>
    </row>
    <row r="117" spans="16:16">
      <c r="P117" s="73"/>
    </row>
    <row r="118" spans="16:16">
      <c r="P118" s="73"/>
    </row>
    <row r="119" spans="16:16">
      <c r="P119" s="73"/>
    </row>
    <row r="120" spans="16:16">
      <c r="P120" s="74"/>
    </row>
    <row r="121" spans="16:16">
      <c r="P121" s="73"/>
    </row>
    <row r="122" spans="16:16">
      <c r="P122" s="73"/>
    </row>
    <row r="123" spans="16:16">
      <c r="P123" s="73"/>
    </row>
    <row r="124" spans="16:16">
      <c r="P124" s="73"/>
    </row>
    <row r="125" spans="16:16">
      <c r="P125" s="73"/>
    </row>
    <row r="126" spans="16:16">
      <c r="P126" s="73"/>
    </row>
    <row r="127" spans="16:16">
      <c r="P127" s="73"/>
    </row>
    <row r="128" spans="16:16">
      <c r="P128" s="73"/>
    </row>
    <row r="129" spans="16:16">
      <c r="P129" s="73"/>
    </row>
    <row r="130" spans="16:16">
      <c r="P130" s="73"/>
    </row>
    <row r="131" spans="16:16">
      <c r="P131" s="73"/>
    </row>
    <row r="132" spans="16:16">
      <c r="P132" s="73"/>
    </row>
    <row r="133" spans="16:16">
      <c r="P133" s="73"/>
    </row>
    <row r="134" spans="16:16">
      <c r="P134" s="73"/>
    </row>
    <row r="135" spans="16:16">
      <c r="P135" s="73"/>
    </row>
    <row r="136" spans="16:16">
      <c r="P136" s="73"/>
    </row>
    <row r="137" spans="16:16">
      <c r="P137" s="73"/>
    </row>
    <row r="138" spans="16:16">
      <c r="P138" s="73"/>
    </row>
    <row r="139" spans="16:16">
      <c r="P139" s="73"/>
    </row>
    <row r="140" spans="16:16">
      <c r="P140" s="73"/>
    </row>
    <row r="141" spans="16:16">
      <c r="P141" s="73"/>
    </row>
    <row r="142" spans="16:16">
      <c r="P142" s="73"/>
    </row>
    <row r="143" spans="16:16">
      <c r="P143" s="73"/>
    </row>
    <row r="144" spans="16:16">
      <c r="P144" s="73"/>
    </row>
    <row r="145" spans="16:16">
      <c r="P145" s="73"/>
    </row>
    <row r="146" spans="16:16">
      <c r="P146" s="73"/>
    </row>
    <row r="147" spans="16:16">
      <c r="P147" s="73"/>
    </row>
    <row r="148" spans="16:16">
      <c r="P148" s="73"/>
    </row>
    <row r="149" spans="16:16">
      <c r="P149" s="73"/>
    </row>
    <row r="150" spans="16:16">
      <c r="P150" s="73"/>
    </row>
    <row r="151" spans="16:16">
      <c r="P151" s="74"/>
    </row>
    <row r="152" spans="16:16">
      <c r="P152" s="73"/>
    </row>
    <row r="153" spans="16:16">
      <c r="P153" s="73"/>
    </row>
    <row r="154" spans="16:16">
      <c r="P154" s="73"/>
    </row>
    <row r="155" spans="16:16">
      <c r="P155" s="73"/>
    </row>
    <row r="156" spans="16:16">
      <c r="P156" s="73"/>
    </row>
    <row r="157" spans="16:16">
      <c r="P157" s="73"/>
    </row>
    <row r="158" spans="16:16">
      <c r="P158" s="73"/>
    </row>
    <row r="159" spans="16:16">
      <c r="P159" s="73"/>
    </row>
    <row r="160" spans="16:16">
      <c r="P160" s="73"/>
    </row>
    <row r="161" spans="16:16">
      <c r="P161" s="73"/>
    </row>
    <row r="162" spans="16:16">
      <c r="P162" s="73"/>
    </row>
    <row r="163" spans="16:16">
      <c r="P163" s="73"/>
    </row>
    <row r="164" spans="16:16">
      <c r="P164" s="73"/>
    </row>
    <row r="165" spans="16:16">
      <c r="P165" s="73"/>
    </row>
    <row r="166" spans="16:16">
      <c r="P166" s="73"/>
    </row>
    <row r="167" spans="16:16">
      <c r="P167" s="73"/>
    </row>
    <row r="168" spans="16:16">
      <c r="P168" s="73"/>
    </row>
    <row r="169" spans="16:16">
      <c r="P169" s="73"/>
    </row>
    <row r="170" spans="16:16">
      <c r="P170" s="73"/>
    </row>
    <row r="171" spans="16:16">
      <c r="P171" s="73"/>
    </row>
    <row r="172" spans="16:16">
      <c r="P172" s="73"/>
    </row>
    <row r="173" spans="16:16">
      <c r="P173" s="73"/>
    </row>
    <row r="174" spans="16:16">
      <c r="P174" s="73"/>
    </row>
    <row r="175" spans="16:16">
      <c r="P175" s="73"/>
    </row>
    <row r="176" spans="16:16">
      <c r="P176" s="73"/>
    </row>
    <row r="177" spans="16:16">
      <c r="P177" s="73"/>
    </row>
    <row r="178" spans="16:16">
      <c r="P178" s="73"/>
    </row>
    <row r="179" spans="16:16">
      <c r="P179" s="73"/>
    </row>
    <row r="180" spans="16:16">
      <c r="P180" s="73"/>
    </row>
    <row r="181" spans="16:16">
      <c r="P181" s="73"/>
    </row>
    <row r="182" spans="16:16">
      <c r="P182" s="73"/>
    </row>
    <row r="183" spans="16:16">
      <c r="P183" s="73"/>
    </row>
    <row r="184" spans="16:16">
      <c r="P184" s="73"/>
    </row>
    <row r="185" spans="16:16">
      <c r="P185" s="73"/>
    </row>
    <row r="186" spans="16:16">
      <c r="P186" s="73"/>
    </row>
    <row r="187" spans="16:16">
      <c r="P187" s="73"/>
    </row>
    <row r="188" spans="16:16">
      <c r="P188" s="73"/>
    </row>
    <row r="189" spans="16:16">
      <c r="P189" s="73"/>
    </row>
    <row r="190" spans="16:16">
      <c r="P190" s="73"/>
    </row>
    <row r="191" spans="16:16">
      <c r="P191" s="73"/>
    </row>
    <row r="192" spans="16:16">
      <c r="P192" s="73"/>
    </row>
    <row r="193" spans="16:16">
      <c r="P193" s="73"/>
    </row>
    <row r="194" spans="16:16">
      <c r="P194" s="73"/>
    </row>
    <row r="195" spans="16:16">
      <c r="P195" s="73"/>
    </row>
    <row r="196" spans="16:16">
      <c r="P196" s="73"/>
    </row>
    <row r="197" spans="16:16">
      <c r="P197" s="73"/>
    </row>
    <row r="198" spans="16:16">
      <c r="P198" s="73"/>
    </row>
    <row r="199" spans="16:16">
      <c r="P199" s="73"/>
    </row>
    <row r="200" spans="16:16">
      <c r="P200" s="73"/>
    </row>
    <row r="201" spans="16:16">
      <c r="P201" s="73"/>
    </row>
    <row r="202" spans="16:16">
      <c r="P202" s="73"/>
    </row>
    <row r="203" spans="16:16">
      <c r="P203" s="73"/>
    </row>
    <row r="204" spans="16:16">
      <c r="P204" s="73"/>
    </row>
    <row r="205" spans="16:16">
      <c r="P205" s="73"/>
    </row>
    <row r="206" spans="16:16">
      <c r="P206" s="73"/>
    </row>
    <row r="207" spans="16:16">
      <c r="P207" s="73"/>
    </row>
    <row r="208" spans="16:16">
      <c r="P208" s="73"/>
    </row>
    <row r="209" spans="16:16">
      <c r="P209" s="73"/>
    </row>
    <row r="210" spans="16:16">
      <c r="P210" s="73"/>
    </row>
    <row r="211" spans="16:16">
      <c r="P211" s="73"/>
    </row>
    <row r="212" spans="16:16">
      <c r="P212" s="73"/>
    </row>
    <row r="213" spans="16:16">
      <c r="P213" s="73"/>
    </row>
    <row r="214" spans="16:16">
      <c r="P214" s="73"/>
    </row>
    <row r="215" spans="16:16">
      <c r="P215" s="73"/>
    </row>
    <row r="216" spans="16:16">
      <c r="P216" s="73"/>
    </row>
    <row r="217" spans="16:16">
      <c r="P217" s="73"/>
    </row>
    <row r="218" spans="16:16">
      <c r="P218" s="73"/>
    </row>
    <row r="219" spans="16:16">
      <c r="P219" s="73"/>
    </row>
    <row r="220" spans="16:16">
      <c r="P220" s="73"/>
    </row>
    <row r="221" spans="16:16">
      <c r="P221" s="73"/>
    </row>
    <row r="222" spans="16:16">
      <c r="P222" s="73"/>
    </row>
    <row r="223" spans="16:16">
      <c r="P223" s="73"/>
    </row>
    <row r="224" spans="16:16">
      <c r="P224" s="73"/>
    </row>
    <row r="225" spans="16:16">
      <c r="P225" s="73"/>
    </row>
    <row r="226" spans="16:16">
      <c r="P226" s="73"/>
    </row>
    <row r="227" spans="16:16">
      <c r="P227" s="73"/>
    </row>
    <row r="228" spans="16:16">
      <c r="P228" s="73"/>
    </row>
    <row r="229" spans="16:16">
      <c r="P229" s="73"/>
    </row>
    <row r="230" spans="16:16">
      <c r="P230" s="73"/>
    </row>
    <row r="231" spans="16:16">
      <c r="P231" s="73"/>
    </row>
    <row r="232" spans="16:16">
      <c r="P232" s="73"/>
    </row>
    <row r="233" spans="16:16">
      <c r="P233" s="73"/>
    </row>
    <row r="234" spans="16:16">
      <c r="P234" s="73"/>
    </row>
    <row r="235" spans="16:16">
      <c r="P235" s="73"/>
    </row>
    <row r="236" spans="16:16">
      <c r="P236" s="73"/>
    </row>
    <row r="237" spans="16:16">
      <c r="P237" s="73"/>
    </row>
    <row r="238" spans="16:16">
      <c r="P238" s="73"/>
    </row>
    <row r="239" spans="16:16">
      <c r="P239" s="73"/>
    </row>
    <row r="240" spans="16:16">
      <c r="P240" s="73"/>
    </row>
    <row r="241" spans="16:16">
      <c r="P241" s="73"/>
    </row>
    <row r="242" spans="16:16">
      <c r="P242" s="73"/>
    </row>
    <row r="243" spans="16:16">
      <c r="P243" s="73"/>
    </row>
    <row r="244" spans="16:16">
      <c r="P244" s="73"/>
    </row>
    <row r="245" spans="16:16">
      <c r="P245" s="73"/>
    </row>
    <row r="246" spans="16:16">
      <c r="P246" s="73"/>
    </row>
    <row r="247" spans="16:16">
      <c r="P247" s="73"/>
    </row>
    <row r="248" spans="16:16">
      <c r="P248" s="73"/>
    </row>
    <row r="249" spans="16:16">
      <c r="P249" s="73"/>
    </row>
    <row r="250" spans="16:16">
      <c r="P250" s="73"/>
    </row>
    <row r="251" spans="16:16">
      <c r="P251" s="73"/>
    </row>
    <row r="252" spans="16:16">
      <c r="P252" s="73"/>
    </row>
    <row r="253" spans="16:16">
      <c r="P253" s="73"/>
    </row>
    <row r="254" spans="16:16">
      <c r="P254" s="73"/>
    </row>
    <row r="255" spans="16:16">
      <c r="P255" s="73"/>
    </row>
    <row r="256" spans="16:16">
      <c r="P256" s="73"/>
    </row>
    <row r="257" spans="16:16">
      <c r="P257" s="73"/>
    </row>
    <row r="258" spans="16:16">
      <c r="P258" s="73"/>
    </row>
    <row r="259" spans="16:16">
      <c r="P259" s="73"/>
    </row>
    <row r="260" spans="16:16">
      <c r="P260" s="73"/>
    </row>
    <row r="261" spans="16:16">
      <c r="P261" s="73"/>
    </row>
    <row r="262" spans="16:16">
      <c r="P262" s="73"/>
    </row>
    <row r="263" spans="16:16">
      <c r="P263" s="73"/>
    </row>
    <row r="264" spans="16:16">
      <c r="P264" s="73"/>
    </row>
    <row r="265" spans="16:16">
      <c r="P265" s="73"/>
    </row>
    <row r="266" spans="16:16">
      <c r="P266" s="73"/>
    </row>
    <row r="267" spans="16:16">
      <c r="P267" s="73"/>
    </row>
    <row r="268" spans="16:16">
      <c r="P268" s="73"/>
    </row>
    <row r="269" spans="16:16">
      <c r="P269" s="73"/>
    </row>
    <row r="270" spans="16:16">
      <c r="P270" s="73"/>
    </row>
    <row r="271" spans="16:16">
      <c r="P271" s="73"/>
    </row>
    <row r="272" spans="16:16">
      <c r="P272" s="73"/>
    </row>
    <row r="273" spans="16:16">
      <c r="P273" s="73"/>
    </row>
    <row r="274" spans="16:16">
      <c r="P274" s="73"/>
    </row>
    <row r="275" spans="16:16">
      <c r="P275" s="73"/>
    </row>
    <row r="276" spans="16:16">
      <c r="P276" s="73"/>
    </row>
    <row r="277" spans="16:16">
      <c r="P277" s="73"/>
    </row>
    <row r="278" spans="16:16">
      <c r="P278" s="73"/>
    </row>
    <row r="279" spans="16:16">
      <c r="P279" s="73"/>
    </row>
    <row r="280" spans="16:16">
      <c r="P280" s="73"/>
    </row>
    <row r="281" spans="16:16">
      <c r="P281" s="73"/>
    </row>
    <row r="282" spans="16:16">
      <c r="P282" s="73"/>
    </row>
    <row r="283" spans="16:16">
      <c r="P283" s="73"/>
    </row>
    <row r="284" spans="16:16">
      <c r="P284" s="73"/>
    </row>
    <row r="285" spans="16:16">
      <c r="P285" s="73"/>
    </row>
    <row r="286" spans="16:16">
      <c r="P286" s="73"/>
    </row>
    <row r="287" spans="16:16">
      <c r="P287" s="73"/>
    </row>
    <row r="288" spans="16:16">
      <c r="P288" s="73"/>
    </row>
    <row r="289" spans="16:16">
      <c r="P289" s="73"/>
    </row>
    <row r="290" spans="16:16">
      <c r="P290" s="73"/>
    </row>
    <row r="291" spans="16:16">
      <c r="P291" s="73"/>
    </row>
    <row r="292" spans="16:16">
      <c r="P292" s="73"/>
    </row>
    <row r="293" spans="16:16">
      <c r="P293" s="73"/>
    </row>
    <row r="294" spans="16:16">
      <c r="P294" s="73"/>
    </row>
    <row r="295" spans="16:16">
      <c r="P295" s="73"/>
    </row>
    <row r="296" spans="16:16">
      <c r="P296" s="73"/>
    </row>
    <row r="297" spans="16:16">
      <c r="P297" s="73"/>
    </row>
  </sheetData>
  <sheetProtection selectLockedCells="1" selectUnlockedCells="1"/>
  <mergeCells count="14">
    <mergeCell ref="F22:H22"/>
    <mergeCell ref="F24:H24"/>
    <mergeCell ref="D7:E7"/>
    <mergeCell ref="I7:J7"/>
    <mergeCell ref="D8:E8"/>
    <mergeCell ref="I8:J8"/>
    <mergeCell ref="D9:E9"/>
    <mergeCell ref="I9:J9"/>
    <mergeCell ref="B2:E2"/>
    <mergeCell ref="B4:E4"/>
    <mergeCell ref="I4:J4"/>
    <mergeCell ref="B5:E5"/>
    <mergeCell ref="B6:E6"/>
    <mergeCell ref="I6:J6"/>
  </mergeCells>
  <dataValidations count="1">
    <dataValidation type="time" allowBlank="1" showErrorMessage="1" errorTitle="Invalid Entry" error="Please enter time in military time format between 0:00 and 23:59 (1:00, 8:00, 13:00, 20:00, etc.)." sqref="D11:E17" xr:uid="{51F8A56E-A7B9-4D44-9D88-B4F146B8F8BA}">
      <formula1>0</formula1>
      <formula2>0.999305555555556</formula2>
    </dataValidation>
  </dataValidations>
  <hyperlinks>
    <hyperlink ref="B8" r:id="rId1" xr:uid="{968758D3-9678-468A-A505-E2C524434BAA}"/>
    <hyperlink ref="I7" r:id="rId2" xr:uid="{E7389938-7BA0-4C47-87B2-DB4004C82D42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5"/>
    <pageSetUpPr fitToPage="1"/>
  </sheetPr>
  <dimension ref="B1:K28"/>
  <sheetViews>
    <sheetView showGridLines="0" showZeros="0" topLeftCell="A7" zoomScaleNormal="100" workbookViewId="0">
      <selection activeCell="J24" sqref="J24"/>
    </sheetView>
  </sheetViews>
  <sheetFormatPr defaultColWidth="9.140625" defaultRowHeight="13.5"/>
  <cols>
    <col min="1" max="1" width="2.140625" style="1" customWidth="1"/>
    <col min="2" max="2" width="14.7109375" style="1" customWidth="1"/>
    <col min="3" max="3" width="13.7109375" style="1" customWidth="1"/>
    <col min="4" max="5" width="12.42578125" style="1" customWidth="1"/>
    <col min="6" max="6" width="12.28515625" style="1" customWidth="1"/>
    <col min="7" max="9" width="12.42578125" style="1" customWidth="1"/>
    <col min="10" max="10" width="12.5703125" style="1" customWidth="1"/>
    <col min="11" max="16384" width="9.140625" style="1"/>
  </cols>
  <sheetData>
    <row r="1" spans="2:11" ht="34.5" customHeight="1">
      <c r="J1" s="2" t="s">
        <v>0</v>
      </c>
    </row>
    <row r="2" spans="2:11" ht="31.5" customHeight="1">
      <c r="B2" s="84"/>
      <c r="C2" s="84"/>
      <c r="D2" s="84"/>
      <c r="E2" s="84"/>
      <c r="F2" s="3"/>
    </row>
    <row r="3" spans="2:11" ht="14.25" customHeight="1"/>
    <row r="4" spans="2:11" ht="17.100000000000001" customHeight="1">
      <c r="B4" s="85" t="s">
        <v>1</v>
      </c>
      <c r="C4" s="85"/>
      <c r="D4" s="85"/>
      <c r="E4" s="85"/>
      <c r="H4" s="4" t="s">
        <v>2</v>
      </c>
      <c r="I4" s="86">
        <f>C17</f>
        <v>46152</v>
      </c>
      <c r="J4" s="86"/>
    </row>
    <row r="5" spans="2:11" ht="17.100000000000001" customHeight="1">
      <c r="B5" s="85" t="s">
        <v>3</v>
      </c>
      <c r="C5" s="85"/>
      <c r="D5" s="85"/>
      <c r="E5" s="85"/>
      <c r="H5" s="5"/>
      <c r="I5" s="6"/>
      <c r="J5" s="6"/>
    </row>
    <row r="6" spans="2:11" ht="17.100000000000001" customHeight="1">
      <c r="B6" s="85"/>
      <c r="C6" s="85"/>
      <c r="D6" s="85"/>
      <c r="E6" s="85"/>
      <c r="H6" s="7"/>
      <c r="I6" s="87" t="s">
        <v>4</v>
      </c>
      <c r="J6" s="87"/>
    </row>
    <row r="7" spans="2:11" ht="17.100000000000001" customHeight="1">
      <c r="B7" s="8" t="s">
        <v>5</v>
      </c>
      <c r="C7" s="8" t="s">
        <v>6</v>
      </c>
      <c r="D7" s="87"/>
      <c r="E7" s="87"/>
      <c r="H7" s="7"/>
      <c r="I7" s="89" t="s">
        <v>7</v>
      </c>
      <c r="J7" s="87"/>
    </row>
    <row r="8" spans="2:11" ht="17.100000000000001" customHeight="1">
      <c r="B8" s="9" t="s">
        <v>8</v>
      </c>
      <c r="C8" s="10"/>
      <c r="D8" s="87"/>
      <c r="E8" s="87"/>
      <c r="H8" s="7"/>
      <c r="I8" s="90" t="s">
        <v>9</v>
      </c>
      <c r="J8" s="90"/>
    </row>
    <row r="9" spans="2:11" ht="17.100000000000001" customHeight="1">
      <c r="B9" s="8"/>
      <c r="C9" s="8"/>
      <c r="D9" s="87"/>
      <c r="E9" s="87"/>
      <c r="H9" s="7"/>
      <c r="I9" s="91"/>
      <c r="J9" s="92"/>
    </row>
    <row r="10" spans="2:11" ht="40.5" customHeight="1">
      <c r="B10" s="11" t="s">
        <v>10</v>
      </c>
      <c r="C10" s="11" t="s">
        <v>11</v>
      </c>
      <c r="D10" s="11" t="s">
        <v>12</v>
      </c>
      <c r="E10" s="11" t="s">
        <v>13</v>
      </c>
      <c r="F10" s="12" t="s">
        <v>14</v>
      </c>
      <c r="G10" s="13" t="s">
        <v>15</v>
      </c>
      <c r="H10" s="13" t="s">
        <v>16</v>
      </c>
      <c r="I10" s="13" t="s">
        <v>17</v>
      </c>
      <c r="J10" s="14" t="s">
        <v>18</v>
      </c>
    </row>
    <row r="11" spans="2:11" ht="21" customHeight="1">
      <c r="B11" s="15" t="s">
        <v>19</v>
      </c>
      <c r="C11" s="16">
        <f>'week 1'!C17+1</f>
        <v>46146</v>
      </c>
      <c r="D11" s="17">
        <v>0.29166666666666669</v>
      </c>
      <c r="E11" s="17">
        <v>0.70833333333333337</v>
      </c>
      <c r="F11" s="18"/>
      <c r="G11" s="19">
        <f t="shared" ref="G11:G17" si="0">((E11-D11)-F11)*24</f>
        <v>10</v>
      </c>
      <c r="H11" s="22"/>
      <c r="I11" s="20"/>
      <c r="J11" s="21">
        <f>SUM(G11:I11)</f>
        <v>10</v>
      </c>
      <c r="K11" s="45"/>
    </row>
    <row r="12" spans="2:11" ht="21" customHeight="1">
      <c r="B12" s="15" t="s">
        <v>20</v>
      </c>
      <c r="C12" s="16">
        <f t="shared" ref="C12:C17" si="1">C11+1</f>
        <v>46147</v>
      </c>
      <c r="D12" s="17">
        <v>0.33333333333333331</v>
      </c>
      <c r="E12" s="17">
        <v>0.70833333333333337</v>
      </c>
      <c r="F12" s="18"/>
      <c r="G12" s="19">
        <f t="shared" si="0"/>
        <v>9.0000000000000018</v>
      </c>
      <c r="H12" s="22"/>
      <c r="I12" s="20"/>
      <c r="J12" s="23">
        <f t="shared" ref="J12:J17" si="2">SUM(G12:I12)</f>
        <v>9.0000000000000018</v>
      </c>
      <c r="K12" s="45"/>
    </row>
    <row r="13" spans="2:11" ht="21" customHeight="1">
      <c r="B13" s="15" t="s">
        <v>21</v>
      </c>
      <c r="C13" s="16">
        <f t="shared" si="1"/>
        <v>46148</v>
      </c>
      <c r="D13" s="17">
        <v>0.39583333333333331</v>
      </c>
      <c r="E13" s="17">
        <v>0.625</v>
      </c>
      <c r="F13" s="18">
        <v>0.125</v>
      </c>
      <c r="G13" s="19">
        <f t="shared" si="0"/>
        <v>2.5000000000000004</v>
      </c>
      <c r="H13" s="22"/>
      <c r="I13" s="20"/>
      <c r="J13" s="23">
        <f t="shared" si="2"/>
        <v>2.5000000000000004</v>
      </c>
      <c r="K13" s="45"/>
    </row>
    <row r="14" spans="2:11" ht="21" customHeight="1">
      <c r="B14" s="47" t="s">
        <v>22</v>
      </c>
      <c r="C14" s="48">
        <f t="shared" si="1"/>
        <v>46149</v>
      </c>
      <c r="D14" s="17">
        <v>0.33333333333333331</v>
      </c>
      <c r="E14" s="17">
        <v>0.6875</v>
      </c>
      <c r="F14" s="18">
        <v>8.3333333333333329E-2</v>
      </c>
      <c r="G14" s="19">
        <f t="shared" si="0"/>
        <v>6.5000000000000009</v>
      </c>
      <c r="H14" s="49"/>
      <c r="I14" s="50"/>
      <c r="J14" s="23">
        <f t="shared" si="2"/>
        <v>6.5000000000000009</v>
      </c>
      <c r="K14" s="45"/>
    </row>
    <row r="15" spans="2:11" ht="21" customHeight="1">
      <c r="B15" s="15" t="s">
        <v>23</v>
      </c>
      <c r="C15" s="16">
        <f t="shared" si="1"/>
        <v>46150</v>
      </c>
      <c r="D15" s="17">
        <v>0.33333333333333331</v>
      </c>
      <c r="E15" s="17">
        <v>0.66666666666666663</v>
      </c>
      <c r="F15" s="18">
        <v>4.1666666666666664E-2</v>
      </c>
      <c r="G15" s="19">
        <f t="shared" si="0"/>
        <v>6.9999999999999991</v>
      </c>
      <c r="H15" s="22"/>
      <c r="I15" s="20"/>
      <c r="J15" s="23">
        <f t="shared" si="2"/>
        <v>6.9999999999999991</v>
      </c>
      <c r="K15" s="45"/>
    </row>
    <row r="16" spans="2:11" ht="21" customHeight="1">
      <c r="B16" s="57" t="s">
        <v>24</v>
      </c>
      <c r="C16" s="58">
        <f t="shared" si="1"/>
        <v>46151</v>
      </c>
      <c r="D16" s="59"/>
      <c r="E16" s="59"/>
      <c r="F16" s="60"/>
      <c r="G16" s="61">
        <f t="shared" si="0"/>
        <v>0</v>
      </c>
      <c r="H16" s="62"/>
      <c r="I16" s="63"/>
      <c r="J16" s="64">
        <f t="shared" si="2"/>
        <v>0</v>
      </c>
    </row>
    <row r="17" spans="2:10" ht="21" customHeight="1">
      <c r="B17" s="57" t="s">
        <v>25</v>
      </c>
      <c r="C17" s="58">
        <f t="shared" si="1"/>
        <v>46152</v>
      </c>
      <c r="D17" s="59"/>
      <c r="E17" s="59"/>
      <c r="F17" s="60"/>
      <c r="G17" s="61">
        <f t="shared" si="0"/>
        <v>0</v>
      </c>
      <c r="H17" s="62"/>
      <c r="I17" s="63"/>
      <c r="J17" s="64">
        <f t="shared" si="2"/>
        <v>0</v>
      </c>
    </row>
    <row r="18" spans="2:10" ht="21" customHeight="1">
      <c r="B18" s="24"/>
      <c r="C18" s="45"/>
      <c r="D18" s="25"/>
      <c r="F18" s="15" t="s">
        <v>18</v>
      </c>
      <c r="G18" s="26">
        <f>SUM(G11:G17)</f>
        <v>35</v>
      </c>
      <c r="H18" s="27">
        <f>SUM(H11:H17)</f>
        <v>0</v>
      </c>
      <c r="I18" s="28">
        <f>SUM(I11:I17)</f>
        <v>0</v>
      </c>
      <c r="J18" s="29">
        <f>SUM(J11:J17)</f>
        <v>35</v>
      </c>
    </row>
    <row r="19" spans="2:10" ht="21" hidden="1" customHeight="1">
      <c r="B19" s="30"/>
      <c r="C19" s="30"/>
      <c r="E19" s="30"/>
      <c r="F19" s="31"/>
      <c r="G19" s="32"/>
      <c r="H19" s="32"/>
      <c r="I19" s="33"/>
      <c r="J19" s="34"/>
    </row>
    <row r="20" spans="2:10" ht="21" hidden="1" customHeight="1">
      <c r="C20" s="6"/>
      <c r="F20" s="31"/>
      <c r="G20" s="35"/>
      <c r="H20" s="35"/>
      <c r="I20" s="35"/>
      <c r="J20" s="36"/>
    </row>
    <row r="21" spans="2:10">
      <c r="B21" s="56">
        <v>46148</v>
      </c>
      <c r="C21" s="1" t="s">
        <v>34</v>
      </c>
      <c r="D21"/>
    </row>
    <row r="22" spans="2:10" ht="28.5" customHeight="1">
      <c r="B22" s="81"/>
      <c r="C22" s="82"/>
      <c r="D22" s="42"/>
      <c r="E22" s="30"/>
      <c r="F22" s="88" t="s">
        <v>28</v>
      </c>
      <c r="G22" s="88"/>
      <c r="H22" s="88"/>
      <c r="I22" s="37"/>
      <c r="J22" s="38">
        <f>'week 1'!J22</f>
        <v>46173</v>
      </c>
    </row>
    <row r="23" spans="2:10" ht="14.25">
      <c r="B23" s="80"/>
      <c r="D23" s="43"/>
      <c r="F23" s="39" t="s">
        <v>26</v>
      </c>
      <c r="G23" s="40"/>
      <c r="J23" s="41" t="s">
        <v>11</v>
      </c>
    </row>
    <row r="24" spans="2:10" ht="21" customHeight="1">
      <c r="B24" s="44"/>
      <c r="C24" s="25"/>
      <c r="F24" s="88" t="s">
        <v>32</v>
      </c>
      <c r="G24" s="88"/>
      <c r="H24" s="88"/>
      <c r="I24" s="37"/>
      <c r="J24" s="38">
        <v>46173</v>
      </c>
    </row>
    <row r="25" spans="2:10" ht="14.25">
      <c r="C25" s="25"/>
      <c r="F25" s="39" t="s">
        <v>27</v>
      </c>
      <c r="G25" s="40"/>
      <c r="J25" s="41" t="s">
        <v>11</v>
      </c>
    </row>
    <row r="27" spans="2:10">
      <c r="C27" s="25"/>
    </row>
    <row r="28" spans="2:10">
      <c r="C28" s="25"/>
    </row>
  </sheetData>
  <sheetProtection selectLockedCells="1" selectUnlockedCells="1"/>
  <mergeCells count="14">
    <mergeCell ref="F22:H22"/>
    <mergeCell ref="F24:H24"/>
    <mergeCell ref="D7:E7"/>
    <mergeCell ref="I7:J7"/>
    <mergeCell ref="D8:E8"/>
    <mergeCell ref="I8:J8"/>
    <mergeCell ref="D9:E9"/>
    <mergeCell ref="I9:J9"/>
    <mergeCell ref="B2:E2"/>
    <mergeCell ref="B4:E4"/>
    <mergeCell ref="I4:J4"/>
    <mergeCell ref="B5:E5"/>
    <mergeCell ref="B6:E6"/>
    <mergeCell ref="I6:J6"/>
  </mergeCells>
  <dataValidations count="1">
    <dataValidation type="time" allowBlank="1" showErrorMessage="1" errorTitle="Invalid Entry" error="Please enter time in military time format between 0:00 and 23:59 (1:00, 8:00, 13:00, 20:00, etc.)." sqref="D11:E17" xr:uid="{00000000-0002-0000-0000-000000000000}">
      <formula1>0</formula1>
      <formula2>0.999305555555556</formula2>
    </dataValidation>
  </dataValidations>
  <hyperlinks>
    <hyperlink ref="B8" r:id="rId1" xr:uid="{00000000-0004-0000-0000-000000000000}"/>
    <hyperlink ref="I7" r:id="rId2" xr:uid="{00000000-0004-0000-0000-000001000000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7E2C-5077-4169-9A9F-A188FC34CAF0}">
  <sheetPr>
    <tabColor indexed="55"/>
    <pageSetUpPr fitToPage="1"/>
  </sheetPr>
  <dimension ref="B1:J28"/>
  <sheetViews>
    <sheetView showGridLines="0" showZeros="0" topLeftCell="A10" zoomScaleNormal="100" workbookViewId="0">
      <selection activeCell="J24" sqref="J24"/>
    </sheetView>
  </sheetViews>
  <sheetFormatPr defaultColWidth="9.140625" defaultRowHeight="13.5"/>
  <cols>
    <col min="1" max="1" width="2.140625" style="1" customWidth="1"/>
    <col min="2" max="2" width="14.7109375" style="1" customWidth="1"/>
    <col min="3" max="3" width="13.7109375" style="1" customWidth="1"/>
    <col min="4" max="5" width="12.42578125" style="1" customWidth="1"/>
    <col min="6" max="6" width="12.28515625" style="1" customWidth="1"/>
    <col min="7" max="9" width="12.42578125" style="1" customWidth="1"/>
    <col min="10" max="10" width="12.5703125" style="1" customWidth="1"/>
    <col min="11" max="16384" width="9.140625" style="1"/>
  </cols>
  <sheetData>
    <row r="1" spans="2:10" ht="34.5" customHeight="1">
      <c r="J1" s="2" t="s">
        <v>0</v>
      </c>
    </row>
    <row r="2" spans="2:10" ht="31.5" customHeight="1">
      <c r="B2" s="84"/>
      <c r="C2" s="84"/>
      <c r="D2" s="84"/>
      <c r="E2" s="84"/>
      <c r="F2" s="3"/>
    </row>
    <row r="3" spans="2:10" ht="14.25" customHeight="1"/>
    <row r="4" spans="2:10" ht="17.100000000000001" customHeight="1">
      <c r="B4" s="85" t="s">
        <v>1</v>
      </c>
      <c r="C4" s="85"/>
      <c r="D4" s="85"/>
      <c r="E4" s="85"/>
      <c r="H4" s="4" t="s">
        <v>2</v>
      </c>
      <c r="I4" s="86">
        <f>C17</f>
        <v>46159</v>
      </c>
      <c r="J4" s="86"/>
    </row>
    <row r="5" spans="2:10" ht="17.100000000000001" customHeight="1">
      <c r="B5" s="85" t="s">
        <v>3</v>
      </c>
      <c r="C5" s="85"/>
      <c r="D5" s="85"/>
      <c r="E5" s="85"/>
      <c r="H5" s="5"/>
      <c r="I5" s="6"/>
      <c r="J5" s="6"/>
    </row>
    <row r="6" spans="2:10" ht="17.100000000000001" customHeight="1">
      <c r="B6" s="85"/>
      <c r="C6" s="85"/>
      <c r="D6" s="85"/>
      <c r="E6" s="85"/>
      <c r="H6" s="7"/>
      <c r="I6" s="87" t="s">
        <v>4</v>
      </c>
      <c r="J6" s="87"/>
    </row>
    <row r="7" spans="2:10" ht="17.100000000000001" customHeight="1">
      <c r="B7" s="8" t="s">
        <v>5</v>
      </c>
      <c r="C7" s="8" t="s">
        <v>6</v>
      </c>
      <c r="D7" s="87"/>
      <c r="E7" s="87"/>
      <c r="H7" s="7"/>
      <c r="I7" s="89" t="s">
        <v>7</v>
      </c>
      <c r="J7" s="87"/>
    </row>
    <row r="8" spans="2:10" ht="17.100000000000001" customHeight="1">
      <c r="B8" s="9" t="s">
        <v>8</v>
      </c>
      <c r="C8" s="10"/>
      <c r="D8" s="87"/>
      <c r="E8" s="87"/>
      <c r="H8" s="7"/>
      <c r="I8" s="90" t="s">
        <v>9</v>
      </c>
      <c r="J8" s="90"/>
    </row>
    <row r="9" spans="2:10" ht="17.100000000000001" customHeight="1">
      <c r="B9" s="8"/>
      <c r="C9" s="8"/>
      <c r="D9" s="87"/>
      <c r="E9" s="87"/>
      <c r="H9" s="7"/>
      <c r="I9" s="91"/>
      <c r="J9" s="92"/>
    </row>
    <row r="10" spans="2:10" ht="40.5" customHeight="1">
      <c r="B10" s="11" t="s">
        <v>10</v>
      </c>
      <c r="C10" s="11" t="s">
        <v>11</v>
      </c>
      <c r="D10" s="11" t="s">
        <v>12</v>
      </c>
      <c r="E10" s="11" t="s">
        <v>13</v>
      </c>
      <c r="F10" s="12" t="s">
        <v>14</v>
      </c>
      <c r="G10" s="13" t="s">
        <v>15</v>
      </c>
      <c r="H10" s="13" t="s">
        <v>16</v>
      </c>
      <c r="I10" s="13" t="s">
        <v>17</v>
      </c>
      <c r="J10" s="14" t="s">
        <v>18</v>
      </c>
    </row>
    <row r="11" spans="2:10" ht="21" customHeight="1">
      <c r="B11" s="15" t="s">
        <v>19</v>
      </c>
      <c r="C11" s="16">
        <f>'week 2'!C17+1</f>
        <v>46153</v>
      </c>
      <c r="D11" s="17">
        <v>0.33333333333333331</v>
      </c>
      <c r="E11" s="17">
        <v>0.70833333333333337</v>
      </c>
      <c r="F11" s="18"/>
      <c r="G11" s="19">
        <f t="shared" ref="G11:G17" si="0">((E11-D11)-F11)*24</f>
        <v>9.0000000000000018</v>
      </c>
      <c r="H11" s="22"/>
      <c r="I11" s="20"/>
      <c r="J11" s="21">
        <f>SUM(G11:I11)</f>
        <v>9.0000000000000018</v>
      </c>
    </row>
    <row r="12" spans="2:10" ht="21" customHeight="1">
      <c r="B12" s="15" t="s">
        <v>20</v>
      </c>
      <c r="C12" s="16">
        <f t="shared" ref="C12:C17" si="1">C11+1</f>
        <v>46154</v>
      </c>
      <c r="D12" s="17">
        <v>0.35416666666666669</v>
      </c>
      <c r="E12" s="17">
        <v>0.70833333333333337</v>
      </c>
      <c r="F12" s="18"/>
      <c r="G12" s="19">
        <f t="shared" si="0"/>
        <v>8.5</v>
      </c>
      <c r="H12" s="22"/>
      <c r="I12" s="20"/>
      <c r="J12" s="23">
        <f t="shared" ref="J12:J17" si="2">SUM(G12:I12)</f>
        <v>8.5</v>
      </c>
    </row>
    <row r="13" spans="2:10" ht="21" customHeight="1">
      <c r="B13" s="15" t="s">
        <v>21</v>
      </c>
      <c r="C13" s="16">
        <f t="shared" si="1"/>
        <v>46155</v>
      </c>
      <c r="D13" s="17">
        <v>0.29166666666666669</v>
      </c>
      <c r="E13" s="17">
        <v>0.625</v>
      </c>
      <c r="F13" s="18">
        <v>2.0833333333333332E-2</v>
      </c>
      <c r="G13" s="19">
        <f>((E13-D13)-F13)*24</f>
        <v>7.5</v>
      </c>
      <c r="H13" s="22"/>
      <c r="I13" s="20"/>
      <c r="J13" s="23">
        <f t="shared" si="2"/>
        <v>7.5</v>
      </c>
    </row>
    <row r="14" spans="2:10" ht="21" customHeight="1">
      <c r="B14" s="47" t="s">
        <v>22</v>
      </c>
      <c r="C14" s="48">
        <f t="shared" si="1"/>
        <v>46156</v>
      </c>
      <c r="D14" s="17">
        <v>0.375</v>
      </c>
      <c r="E14" s="17">
        <v>0.6875</v>
      </c>
      <c r="F14" s="18"/>
      <c r="G14" s="19">
        <f>((E14-D14)-F14)*24</f>
        <v>7.5</v>
      </c>
      <c r="H14" s="49"/>
      <c r="I14" s="50"/>
      <c r="J14" s="23">
        <f t="shared" si="2"/>
        <v>7.5</v>
      </c>
    </row>
    <row r="15" spans="2:10" ht="21" customHeight="1">
      <c r="B15" s="15" t="s">
        <v>23</v>
      </c>
      <c r="C15" s="16">
        <f t="shared" si="1"/>
        <v>46157</v>
      </c>
      <c r="D15" s="17">
        <v>0.35416666666666669</v>
      </c>
      <c r="E15" s="17">
        <v>0.70833333333333337</v>
      </c>
      <c r="F15" s="18">
        <v>4.1666666666666664E-2</v>
      </c>
      <c r="G15" s="19">
        <f t="shared" si="0"/>
        <v>7.5</v>
      </c>
      <c r="H15" s="22"/>
      <c r="I15" s="20"/>
      <c r="J15" s="23">
        <f t="shared" si="2"/>
        <v>7.5</v>
      </c>
    </row>
    <row r="16" spans="2:10" ht="21" customHeight="1">
      <c r="B16" s="57" t="s">
        <v>24</v>
      </c>
      <c r="C16" s="58">
        <f t="shared" si="1"/>
        <v>46158</v>
      </c>
      <c r="D16" s="59"/>
      <c r="E16" s="59"/>
      <c r="F16" s="60"/>
      <c r="G16" s="61">
        <f t="shared" si="0"/>
        <v>0</v>
      </c>
      <c r="H16" s="62"/>
      <c r="I16" s="63"/>
      <c r="J16" s="64">
        <f t="shared" si="2"/>
        <v>0</v>
      </c>
    </row>
    <row r="17" spans="2:10" ht="21" customHeight="1">
      <c r="B17" s="57" t="s">
        <v>25</v>
      </c>
      <c r="C17" s="58">
        <f t="shared" si="1"/>
        <v>46159</v>
      </c>
      <c r="D17" s="59"/>
      <c r="E17" s="59"/>
      <c r="F17" s="60"/>
      <c r="G17" s="61">
        <f t="shared" si="0"/>
        <v>0</v>
      </c>
      <c r="H17" s="62"/>
      <c r="I17" s="63"/>
      <c r="J17" s="64">
        <f t="shared" si="2"/>
        <v>0</v>
      </c>
    </row>
    <row r="18" spans="2:10" ht="21" customHeight="1">
      <c r="B18" s="24"/>
      <c r="C18" s="45"/>
      <c r="D18" s="25"/>
      <c r="F18" s="15" t="s">
        <v>18</v>
      </c>
      <c r="G18" s="26">
        <f>SUM(G11:G17)</f>
        <v>40</v>
      </c>
      <c r="H18" s="27">
        <f>SUM(H11:H17)</f>
        <v>0</v>
      </c>
      <c r="I18" s="28">
        <f>SUM(I11:I17)</f>
        <v>0</v>
      </c>
      <c r="J18" s="29">
        <f>SUM(J11:J17)</f>
        <v>40</v>
      </c>
    </row>
    <row r="19" spans="2:10" ht="21" hidden="1" customHeight="1">
      <c r="B19" s="30"/>
      <c r="C19" s="30"/>
      <c r="E19" s="30"/>
      <c r="F19" s="31"/>
      <c r="G19" s="32"/>
      <c r="H19" s="32"/>
      <c r="I19" s="33"/>
      <c r="J19" s="34"/>
    </row>
    <row r="20" spans="2:10" ht="21" hidden="1" customHeight="1">
      <c r="C20" s="6"/>
      <c r="F20" s="31"/>
      <c r="G20" s="35"/>
      <c r="H20" s="35"/>
      <c r="I20" s="35"/>
      <c r="J20" s="36"/>
    </row>
    <row r="21" spans="2:10">
      <c r="B21" s="56"/>
      <c r="C21" s="44"/>
      <c r="D21"/>
    </row>
    <row r="22" spans="2:10" ht="23.45" customHeight="1">
      <c r="B22" s="56"/>
      <c r="C22" s="83"/>
      <c r="D22" s="83"/>
      <c r="E22" s="83"/>
      <c r="F22" s="88" t="s">
        <v>28</v>
      </c>
      <c r="G22" s="88"/>
      <c r="H22" s="88"/>
      <c r="I22" s="37"/>
      <c r="J22" s="38">
        <f>'week 1'!J22</f>
        <v>46173</v>
      </c>
    </row>
    <row r="23" spans="2:10" ht="14.25">
      <c r="B23" s="83"/>
      <c r="C23" s="83"/>
      <c r="D23" s="83"/>
      <c r="E23" s="83"/>
      <c r="F23" s="39" t="s">
        <v>26</v>
      </c>
      <c r="G23" s="40"/>
      <c r="J23" s="41" t="s">
        <v>11</v>
      </c>
    </row>
    <row r="24" spans="2:10" ht="21" customHeight="1">
      <c r="F24" s="88" t="s">
        <v>32</v>
      </c>
      <c r="G24" s="88"/>
      <c r="H24" s="88"/>
      <c r="I24" s="37"/>
      <c r="J24" s="38">
        <v>46173</v>
      </c>
    </row>
    <row r="25" spans="2:10" ht="14.25">
      <c r="C25" s="25"/>
      <c r="F25" s="39" t="s">
        <v>27</v>
      </c>
      <c r="G25" s="40"/>
      <c r="J25" s="41" t="s">
        <v>11</v>
      </c>
    </row>
    <row r="27" spans="2:10">
      <c r="C27" s="25"/>
    </row>
    <row r="28" spans="2:10">
      <c r="C28" s="25"/>
    </row>
  </sheetData>
  <sheetProtection selectLockedCells="1" selectUnlockedCells="1"/>
  <mergeCells count="14">
    <mergeCell ref="F22:H22"/>
    <mergeCell ref="F24:H24"/>
    <mergeCell ref="D7:E7"/>
    <mergeCell ref="I7:J7"/>
    <mergeCell ref="D8:E8"/>
    <mergeCell ref="I8:J8"/>
    <mergeCell ref="D9:E9"/>
    <mergeCell ref="I9:J9"/>
    <mergeCell ref="B2:E2"/>
    <mergeCell ref="B4:E4"/>
    <mergeCell ref="I4:J4"/>
    <mergeCell ref="B5:E5"/>
    <mergeCell ref="B6:E6"/>
    <mergeCell ref="I6:J6"/>
  </mergeCells>
  <dataValidations count="1">
    <dataValidation type="time" allowBlank="1" showErrorMessage="1" errorTitle="Invalid Entry" error="Please enter time in military time format between 0:00 and 23:59 (1:00, 8:00, 13:00, 20:00, etc.)." sqref="D11:E17" xr:uid="{2B3CC5DE-9208-48F8-9FC9-D7C62B2CFA11}">
      <formula1>0</formula1>
      <formula2>0.999305555555556</formula2>
    </dataValidation>
  </dataValidations>
  <hyperlinks>
    <hyperlink ref="B8" r:id="rId1" xr:uid="{488B4655-4F81-411D-BAA7-B87C05922223}"/>
    <hyperlink ref="I7" r:id="rId2" xr:uid="{01849341-C549-4E32-9631-B5D4AF289A3D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5BB0-F6DA-4B95-A8AC-DA5DF82F9C18}">
  <sheetPr>
    <tabColor indexed="55"/>
    <pageSetUpPr fitToPage="1"/>
  </sheetPr>
  <dimension ref="B1:J28"/>
  <sheetViews>
    <sheetView showGridLines="0" showZeros="0" topLeftCell="A8" zoomScaleNormal="100" workbookViewId="0">
      <selection activeCell="G40" sqref="G40"/>
    </sheetView>
  </sheetViews>
  <sheetFormatPr defaultColWidth="9.140625" defaultRowHeight="13.5"/>
  <cols>
    <col min="1" max="1" width="2.140625" style="1" customWidth="1"/>
    <col min="2" max="2" width="14.7109375" style="1" customWidth="1"/>
    <col min="3" max="3" width="13.7109375" style="1" customWidth="1"/>
    <col min="4" max="5" width="12.42578125" style="1" customWidth="1"/>
    <col min="6" max="6" width="12.28515625" style="1" customWidth="1"/>
    <col min="7" max="9" width="12.42578125" style="1" customWidth="1"/>
    <col min="10" max="10" width="12.5703125" style="1" customWidth="1"/>
    <col min="11" max="16384" width="9.140625" style="1"/>
  </cols>
  <sheetData>
    <row r="1" spans="2:10" ht="34.5" customHeight="1">
      <c r="J1" s="2" t="s">
        <v>0</v>
      </c>
    </row>
    <row r="2" spans="2:10" ht="31.5" customHeight="1">
      <c r="B2" s="84"/>
      <c r="C2" s="84"/>
      <c r="D2" s="84"/>
      <c r="E2" s="84"/>
      <c r="F2" s="3"/>
    </row>
    <row r="3" spans="2:10" ht="14.25" customHeight="1"/>
    <row r="4" spans="2:10" ht="17.100000000000001" customHeight="1">
      <c r="B4" s="85" t="s">
        <v>1</v>
      </c>
      <c r="C4" s="85"/>
      <c r="D4" s="85"/>
      <c r="E4" s="85"/>
      <c r="H4" s="4" t="s">
        <v>2</v>
      </c>
      <c r="I4" s="86">
        <f>C17</f>
        <v>46166</v>
      </c>
      <c r="J4" s="86"/>
    </row>
    <row r="5" spans="2:10" ht="17.100000000000001" customHeight="1">
      <c r="B5" s="85" t="s">
        <v>3</v>
      </c>
      <c r="C5" s="85"/>
      <c r="D5" s="85"/>
      <c r="E5" s="85"/>
      <c r="H5" s="5"/>
      <c r="I5" s="6"/>
      <c r="J5" s="6"/>
    </row>
    <row r="6" spans="2:10" ht="17.100000000000001" customHeight="1">
      <c r="B6" s="85"/>
      <c r="C6" s="85"/>
      <c r="D6" s="85"/>
      <c r="E6" s="85"/>
      <c r="H6" s="7"/>
      <c r="I6" s="87" t="s">
        <v>4</v>
      </c>
      <c r="J6" s="87"/>
    </row>
    <row r="7" spans="2:10" ht="17.100000000000001" customHeight="1">
      <c r="B7" s="8" t="s">
        <v>5</v>
      </c>
      <c r="C7" s="8" t="s">
        <v>6</v>
      </c>
      <c r="D7" s="87"/>
      <c r="E7" s="87"/>
      <c r="H7" s="7"/>
      <c r="I7" s="89" t="s">
        <v>7</v>
      </c>
      <c r="J7" s="87"/>
    </row>
    <row r="8" spans="2:10" ht="17.100000000000001" customHeight="1">
      <c r="B8" s="9" t="s">
        <v>8</v>
      </c>
      <c r="C8" s="10"/>
      <c r="D8" s="87"/>
      <c r="E8" s="87"/>
      <c r="H8" s="7"/>
      <c r="I8" s="90" t="s">
        <v>9</v>
      </c>
      <c r="J8" s="90"/>
    </row>
    <row r="9" spans="2:10" ht="17.100000000000001" customHeight="1">
      <c r="B9" s="8"/>
      <c r="C9" s="8"/>
      <c r="D9" s="87"/>
      <c r="E9" s="87"/>
      <c r="H9" s="7"/>
      <c r="I9" s="91"/>
      <c r="J9" s="92"/>
    </row>
    <row r="10" spans="2:10" ht="40.5" customHeight="1">
      <c r="B10" s="11" t="s">
        <v>10</v>
      </c>
      <c r="C10" s="11" t="s">
        <v>11</v>
      </c>
      <c r="D10" s="11" t="s">
        <v>12</v>
      </c>
      <c r="E10" s="11" t="s">
        <v>13</v>
      </c>
      <c r="F10" s="12" t="s">
        <v>14</v>
      </c>
      <c r="G10" s="13" t="s">
        <v>15</v>
      </c>
      <c r="H10" s="13" t="s">
        <v>16</v>
      </c>
      <c r="I10" s="13" t="s">
        <v>17</v>
      </c>
      <c r="J10" s="14" t="s">
        <v>18</v>
      </c>
    </row>
    <row r="11" spans="2:10" ht="21" customHeight="1">
      <c r="B11" s="15" t="s">
        <v>19</v>
      </c>
      <c r="C11" s="16">
        <f>'week 3'!C17+1</f>
        <v>46160</v>
      </c>
      <c r="D11" s="17">
        <v>0.29166666666666669</v>
      </c>
      <c r="E11" s="17">
        <v>0.70833333333333337</v>
      </c>
      <c r="F11" s="18">
        <v>4.1666666666666664E-2</v>
      </c>
      <c r="G11" s="19">
        <f t="shared" ref="G11:G17" si="0">((E11-D11)-F11)*24</f>
        <v>9</v>
      </c>
      <c r="H11" s="22"/>
      <c r="I11" s="20"/>
      <c r="J11" s="21">
        <f>SUM(G11:I11)</f>
        <v>9</v>
      </c>
    </row>
    <row r="12" spans="2:10" ht="21" customHeight="1">
      <c r="B12" s="15" t="s">
        <v>20</v>
      </c>
      <c r="C12" s="16">
        <f t="shared" ref="C12:C17" si="1">C11+1</f>
        <v>46161</v>
      </c>
      <c r="D12" s="17">
        <v>0.3125</v>
      </c>
      <c r="E12" s="17">
        <v>0.6875</v>
      </c>
      <c r="F12" s="18"/>
      <c r="G12" s="19">
        <f t="shared" si="0"/>
        <v>9</v>
      </c>
      <c r="H12" s="22"/>
      <c r="I12" s="20"/>
      <c r="J12" s="23">
        <f t="shared" ref="J12:J17" si="2">SUM(G12:I12)</f>
        <v>9</v>
      </c>
    </row>
    <row r="13" spans="2:10" ht="21" customHeight="1">
      <c r="B13" s="15" t="s">
        <v>21</v>
      </c>
      <c r="C13" s="16">
        <f t="shared" si="1"/>
        <v>46162</v>
      </c>
      <c r="D13" s="17">
        <v>0.30208333333333331</v>
      </c>
      <c r="E13" s="17">
        <v>0.51041666666666663</v>
      </c>
      <c r="F13" s="18"/>
      <c r="G13" s="19">
        <f>((E13-D13)-F13)*24</f>
        <v>5</v>
      </c>
      <c r="H13" s="22"/>
      <c r="I13" s="20"/>
      <c r="J13" s="23">
        <f t="shared" si="2"/>
        <v>5</v>
      </c>
    </row>
    <row r="14" spans="2:10" ht="21" customHeight="1">
      <c r="B14" s="47" t="s">
        <v>22</v>
      </c>
      <c r="C14" s="48">
        <f t="shared" si="1"/>
        <v>46163</v>
      </c>
      <c r="D14" s="17">
        <v>0.33333333333333331</v>
      </c>
      <c r="E14" s="17">
        <v>0.66666666666666663</v>
      </c>
      <c r="F14" s="18">
        <v>4.1666666666666664E-2</v>
      </c>
      <c r="G14" s="19">
        <f>((E14-D14)-F14)*24</f>
        <v>6.9999999999999991</v>
      </c>
      <c r="H14" s="49"/>
      <c r="I14" s="50"/>
      <c r="J14" s="23">
        <f t="shared" si="2"/>
        <v>6.9999999999999991</v>
      </c>
    </row>
    <row r="15" spans="2:10" ht="21" customHeight="1">
      <c r="B15" s="15" t="s">
        <v>23</v>
      </c>
      <c r="C15" s="16">
        <f t="shared" si="1"/>
        <v>46164</v>
      </c>
      <c r="D15" s="17">
        <v>0.33333333333333331</v>
      </c>
      <c r="E15" s="17">
        <v>0.66666666666666663</v>
      </c>
      <c r="F15" s="18">
        <v>6.25E-2</v>
      </c>
      <c r="G15" s="19">
        <f t="shared" si="0"/>
        <v>6.5</v>
      </c>
      <c r="H15" s="22"/>
      <c r="I15" s="20"/>
      <c r="J15" s="23">
        <f t="shared" si="2"/>
        <v>6.5</v>
      </c>
    </row>
    <row r="16" spans="2:10" ht="21" customHeight="1">
      <c r="B16" s="57" t="s">
        <v>24</v>
      </c>
      <c r="C16" s="58">
        <f t="shared" si="1"/>
        <v>46165</v>
      </c>
      <c r="D16" s="59"/>
      <c r="E16" s="59"/>
      <c r="F16" s="60"/>
      <c r="G16" s="61">
        <f t="shared" si="0"/>
        <v>0</v>
      </c>
      <c r="H16" s="62"/>
      <c r="I16" s="63"/>
      <c r="J16" s="64">
        <f t="shared" si="2"/>
        <v>0</v>
      </c>
    </row>
    <row r="17" spans="2:10" ht="21" customHeight="1">
      <c r="B17" s="57" t="s">
        <v>25</v>
      </c>
      <c r="C17" s="58">
        <f t="shared" si="1"/>
        <v>46166</v>
      </c>
      <c r="D17" s="59"/>
      <c r="E17" s="59"/>
      <c r="F17" s="60"/>
      <c r="G17" s="61">
        <f t="shared" si="0"/>
        <v>0</v>
      </c>
      <c r="H17" s="62"/>
      <c r="I17" s="63"/>
      <c r="J17" s="64">
        <f t="shared" si="2"/>
        <v>0</v>
      </c>
    </row>
    <row r="18" spans="2:10" ht="21" customHeight="1">
      <c r="B18" s="24"/>
      <c r="C18" s="45"/>
      <c r="D18" s="25"/>
      <c r="F18" s="15" t="s">
        <v>18</v>
      </c>
      <c r="G18" s="26">
        <f>SUM(G11:G17)</f>
        <v>36.5</v>
      </c>
      <c r="H18" s="27">
        <f>SUM(H11:H17)</f>
        <v>0</v>
      </c>
      <c r="I18" s="28">
        <f>SUM(I11:I17)</f>
        <v>0</v>
      </c>
      <c r="J18" s="29">
        <f>SUM(J11:J17)</f>
        <v>36.5</v>
      </c>
    </row>
    <row r="19" spans="2:10" ht="21" hidden="1" customHeight="1">
      <c r="B19" s="30"/>
      <c r="C19" s="30"/>
      <c r="E19" s="30"/>
      <c r="F19" s="31"/>
      <c r="G19" s="32"/>
      <c r="H19" s="32"/>
      <c r="I19" s="33"/>
      <c r="J19" s="34"/>
    </row>
    <row r="20" spans="2:10" ht="21" hidden="1" customHeight="1">
      <c r="C20" s="6"/>
      <c r="F20" s="31"/>
      <c r="G20" s="35"/>
      <c r="H20" s="35"/>
      <c r="I20" s="35"/>
      <c r="J20" s="36"/>
    </row>
    <row r="21" spans="2:10">
      <c r="B21" s="51"/>
      <c r="C21" s="45"/>
      <c r="D21"/>
    </row>
    <row r="22" spans="2:10" ht="28.5" customHeight="1">
      <c r="B22" s="56"/>
      <c r="C22" s="46"/>
      <c r="D22" s="42"/>
      <c r="E22" s="30"/>
      <c r="F22" s="88" t="s">
        <v>28</v>
      </c>
      <c r="G22" s="88"/>
      <c r="H22" s="88"/>
      <c r="I22" s="37"/>
      <c r="J22" s="38">
        <f>'week 1'!J22</f>
        <v>46173</v>
      </c>
    </row>
    <row r="23" spans="2:10" ht="14.25">
      <c r="D23" s="43"/>
      <c r="F23" s="39" t="s">
        <v>26</v>
      </c>
      <c r="G23" s="40"/>
      <c r="J23" s="41" t="s">
        <v>11</v>
      </c>
    </row>
    <row r="24" spans="2:10" ht="21" customHeight="1">
      <c r="B24" s="44"/>
      <c r="C24" s="25"/>
      <c r="F24" s="88" t="s">
        <v>32</v>
      </c>
      <c r="G24" s="88"/>
      <c r="H24" s="88"/>
      <c r="I24" s="37"/>
      <c r="J24" s="38">
        <v>46173</v>
      </c>
    </row>
    <row r="25" spans="2:10" ht="14.25">
      <c r="C25" s="25"/>
      <c r="F25" s="39" t="s">
        <v>27</v>
      </c>
      <c r="G25" s="40"/>
      <c r="J25" s="41" t="s">
        <v>11</v>
      </c>
    </row>
    <row r="27" spans="2:10">
      <c r="C27" s="25"/>
    </row>
    <row r="28" spans="2:10">
      <c r="C28" s="25"/>
    </row>
  </sheetData>
  <sheetProtection selectLockedCells="1" selectUnlockedCells="1"/>
  <mergeCells count="14">
    <mergeCell ref="F22:H22"/>
    <mergeCell ref="F24:H24"/>
    <mergeCell ref="D7:E7"/>
    <mergeCell ref="I7:J7"/>
    <mergeCell ref="D8:E8"/>
    <mergeCell ref="I8:J8"/>
    <mergeCell ref="D9:E9"/>
    <mergeCell ref="I9:J9"/>
    <mergeCell ref="B2:E2"/>
    <mergeCell ref="B4:E4"/>
    <mergeCell ref="I4:J4"/>
    <mergeCell ref="B5:E5"/>
    <mergeCell ref="B6:E6"/>
    <mergeCell ref="I6:J6"/>
  </mergeCells>
  <dataValidations count="1">
    <dataValidation type="time" allowBlank="1" showErrorMessage="1" errorTitle="Invalid Entry" error="Please enter time in military time format between 0:00 and 23:59 (1:00, 8:00, 13:00, 20:00, etc.)." sqref="D11:E17" xr:uid="{D6B90D5E-F495-464F-BB91-36579D60A54C}">
      <formula1>0</formula1>
      <formula2>0.999305555555556</formula2>
    </dataValidation>
  </dataValidations>
  <hyperlinks>
    <hyperlink ref="B8" r:id="rId1" xr:uid="{8549D8F2-8C74-443E-BDD7-D08AFC39C406}"/>
    <hyperlink ref="I7" r:id="rId2" xr:uid="{C4588F96-CDC6-4D65-87CD-C52C6B9F9E5D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1AF5C-BF7B-442E-A057-CEC0B895022C}">
  <sheetPr>
    <tabColor indexed="55"/>
    <pageSetUpPr fitToPage="1"/>
  </sheetPr>
  <dimension ref="B1:J25"/>
  <sheetViews>
    <sheetView showGridLines="0" showZeros="0" topLeftCell="A10" zoomScaleNormal="100" workbookViewId="0">
      <selection activeCell="J24" sqref="J24"/>
    </sheetView>
  </sheetViews>
  <sheetFormatPr defaultColWidth="9.140625" defaultRowHeight="13.5"/>
  <cols>
    <col min="1" max="1" width="2.140625" style="1" customWidth="1"/>
    <col min="2" max="2" width="14.7109375" style="1" customWidth="1"/>
    <col min="3" max="3" width="13.7109375" style="1" customWidth="1"/>
    <col min="4" max="5" width="12.42578125" style="1" customWidth="1"/>
    <col min="6" max="6" width="12.28515625" style="1" customWidth="1"/>
    <col min="7" max="9" width="12.42578125" style="1" customWidth="1"/>
    <col min="10" max="10" width="12.5703125" style="1" customWidth="1"/>
    <col min="11" max="16384" width="9.140625" style="1"/>
  </cols>
  <sheetData>
    <row r="1" spans="2:10" ht="34.5" customHeight="1">
      <c r="J1" s="2" t="s">
        <v>0</v>
      </c>
    </row>
    <row r="2" spans="2:10" ht="31.5" customHeight="1">
      <c r="B2" s="84"/>
      <c r="C2" s="84"/>
      <c r="D2" s="84"/>
      <c r="E2" s="84"/>
      <c r="F2" s="3"/>
    </row>
    <row r="3" spans="2:10" ht="14.25" customHeight="1"/>
    <row r="4" spans="2:10" ht="17.100000000000001" customHeight="1">
      <c r="B4" s="85" t="s">
        <v>1</v>
      </c>
      <c r="C4" s="85"/>
      <c r="D4" s="85"/>
      <c r="E4" s="85"/>
      <c r="H4" s="4" t="s">
        <v>2</v>
      </c>
      <c r="I4" s="86">
        <f>C17</f>
        <v>46173</v>
      </c>
      <c r="J4" s="86"/>
    </row>
    <row r="5" spans="2:10" ht="17.100000000000001" customHeight="1">
      <c r="B5" s="85" t="s">
        <v>3</v>
      </c>
      <c r="C5" s="85"/>
      <c r="D5" s="85"/>
      <c r="E5" s="85"/>
      <c r="H5" s="5"/>
      <c r="I5" s="6"/>
      <c r="J5" s="6"/>
    </row>
    <row r="6" spans="2:10" ht="17.100000000000001" customHeight="1">
      <c r="B6" s="85"/>
      <c r="C6" s="85"/>
      <c r="D6" s="85"/>
      <c r="E6" s="85"/>
      <c r="H6" s="7"/>
      <c r="I6" s="87" t="s">
        <v>4</v>
      </c>
      <c r="J6" s="87"/>
    </row>
    <row r="7" spans="2:10" ht="17.100000000000001" customHeight="1">
      <c r="B7" s="8" t="s">
        <v>5</v>
      </c>
      <c r="C7" s="8" t="s">
        <v>6</v>
      </c>
      <c r="D7" s="87"/>
      <c r="E7" s="87"/>
      <c r="H7" s="7"/>
      <c r="I7" s="89" t="s">
        <v>7</v>
      </c>
      <c r="J7" s="87"/>
    </row>
    <row r="8" spans="2:10" ht="17.100000000000001" customHeight="1">
      <c r="B8" s="9" t="s">
        <v>8</v>
      </c>
      <c r="C8" s="10"/>
      <c r="D8" s="87"/>
      <c r="E8" s="87"/>
      <c r="H8" s="7"/>
      <c r="I8" s="90" t="s">
        <v>9</v>
      </c>
      <c r="J8" s="90"/>
    </row>
    <row r="9" spans="2:10" ht="17.100000000000001" customHeight="1">
      <c r="B9" s="8"/>
      <c r="C9" s="8"/>
      <c r="D9" s="87"/>
      <c r="E9" s="87"/>
      <c r="H9" s="7"/>
      <c r="I9" s="91"/>
      <c r="J9" s="92"/>
    </row>
    <row r="10" spans="2:10" ht="40.5" customHeight="1">
      <c r="B10" s="11" t="s">
        <v>10</v>
      </c>
      <c r="C10" s="11" t="s">
        <v>11</v>
      </c>
      <c r="D10" s="11" t="s">
        <v>12</v>
      </c>
      <c r="E10" s="11" t="s">
        <v>13</v>
      </c>
      <c r="F10" s="12" t="s">
        <v>14</v>
      </c>
      <c r="G10" s="13" t="s">
        <v>15</v>
      </c>
      <c r="H10" s="13" t="s">
        <v>16</v>
      </c>
      <c r="I10" s="13" t="s">
        <v>17</v>
      </c>
      <c r="J10" s="14" t="s">
        <v>18</v>
      </c>
    </row>
    <row r="11" spans="2:10" ht="21" customHeight="1">
      <c r="B11" s="15" t="s">
        <v>19</v>
      </c>
      <c r="C11" s="16">
        <f>'week 4'!C17+1</f>
        <v>46167</v>
      </c>
      <c r="D11" s="17"/>
      <c r="E11" s="17"/>
      <c r="F11" s="18"/>
      <c r="G11" s="19">
        <f t="shared" ref="G11:G17" si="0">((E11-D11)-F11)*24</f>
        <v>0</v>
      </c>
      <c r="H11" s="22"/>
      <c r="I11" s="20"/>
      <c r="J11" s="21">
        <f>SUM(G11:I11)</f>
        <v>0</v>
      </c>
    </row>
    <row r="12" spans="2:10" ht="21" customHeight="1">
      <c r="B12" s="15" t="s">
        <v>20</v>
      </c>
      <c r="C12" s="16">
        <f t="shared" ref="C12:C17" si="1">C11+1</f>
        <v>46168</v>
      </c>
      <c r="D12" s="17">
        <v>0.375</v>
      </c>
      <c r="E12" s="17">
        <v>0.70833333333333337</v>
      </c>
      <c r="F12" s="18"/>
      <c r="G12" s="19">
        <f t="shared" si="0"/>
        <v>8</v>
      </c>
      <c r="H12" s="22"/>
      <c r="I12" s="20"/>
      <c r="J12" s="23">
        <f t="shared" ref="J12:J17" si="2">SUM(G12:I12)</f>
        <v>8</v>
      </c>
    </row>
    <row r="13" spans="2:10" ht="21" customHeight="1">
      <c r="B13" s="15" t="s">
        <v>21</v>
      </c>
      <c r="C13" s="16">
        <f t="shared" si="1"/>
        <v>46169</v>
      </c>
      <c r="D13" s="17">
        <v>0.41666666666666669</v>
      </c>
      <c r="E13" s="17">
        <v>0.45833333333333331</v>
      </c>
      <c r="F13" s="18"/>
      <c r="G13" s="19">
        <f t="shared" si="0"/>
        <v>0.99999999999999911</v>
      </c>
      <c r="H13" s="22"/>
      <c r="I13" s="20"/>
      <c r="J13" s="23">
        <f t="shared" si="2"/>
        <v>0.99999999999999911</v>
      </c>
    </row>
    <row r="14" spans="2:10" ht="21" customHeight="1">
      <c r="B14" s="47" t="s">
        <v>22</v>
      </c>
      <c r="C14" s="48">
        <f t="shared" si="1"/>
        <v>46170</v>
      </c>
      <c r="D14" s="17">
        <v>0.375</v>
      </c>
      <c r="E14" s="17">
        <v>0.70833333333333337</v>
      </c>
      <c r="F14" s="18"/>
      <c r="G14" s="19">
        <f t="shared" si="0"/>
        <v>8</v>
      </c>
      <c r="H14" s="49"/>
      <c r="I14" s="50"/>
      <c r="J14" s="23">
        <f t="shared" si="2"/>
        <v>8</v>
      </c>
    </row>
    <row r="15" spans="2:10" ht="21" customHeight="1">
      <c r="B15" s="15" t="s">
        <v>23</v>
      </c>
      <c r="C15" s="16">
        <f t="shared" si="1"/>
        <v>46171</v>
      </c>
      <c r="D15" s="17">
        <v>0.33333333333333331</v>
      </c>
      <c r="E15" s="17">
        <v>0.70833333333333337</v>
      </c>
      <c r="F15" s="18"/>
      <c r="G15" s="19">
        <f t="shared" si="0"/>
        <v>9.0000000000000018</v>
      </c>
      <c r="H15" s="22"/>
      <c r="I15" s="20"/>
      <c r="J15" s="23">
        <f t="shared" si="2"/>
        <v>9.0000000000000018</v>
      </c>
    </row>
    <row r="16" spans="2:10" ht="21" customHeight="1">
      <c r="B16" s="57" t="s">
        <v>24</v>
      </c>
      <c r="C16" s="58">
        <f t="shared" si="1"/>
        <v>46172</v>
      </c>
      <c r="D16" s="59">
        <v>0.58333333333333337</v>
      </c>
      <c r="E16" s="59">
        <v>0.625</v>
      </c>
      <c r="F16" s="60"/>
      <c r="G16" s="61">
        <f t="shared" si="0"/>
        <v>0.99999999999999911</v>
      </c>
      <c r="H16" s="62"/>
      <c r="I16" s="63"/>
      <c r="J16" s="64">
        <f t="shared" si="2"/>
        <v>0.99999999999999911</v>
      </c>
    </row>
    <row r="17" spans="2:10" ht="21" customHeight="1">
      <c r="B17" s="57" t="s">
        <v>25</v>
      </c>
      <c r="C17" s="58">
        <f t="shared" si="1"/>
        <v>46173</v>
      </c>
      <c r="D17" s="59"/>
      <c r="E17" s="59"/>
      <c r="F17" s="60"/>
      <c r="G17" s="61">
        <f t="shared" si="0"/>
        <v>0</v>
      </c>
      <c r="H17" s="62"/>
      <c r="I17" s="63"/>
      <c r="J17" s="64">
        <f t="shared" si="2"/>
        <v>0</v>
      </c>
    </row>
    <row r="18" spans="2:10" ht="21" customHeight="1">
      <c r="B18" s="24"/>
      <c r="C18" s="45"/>
      <c r="D18" s="25"/>
      <c r="F18" s="15" t="s">
        <v>18</v>
      </c>
      <c r="G18" s="26">
        <f>SUM(G11:G17)</f>
        <v>27</v>
      </c>
      <c r="H18" s="27">
        <f>SUM(H11:H17)</f>
        <v>0</v>
      </c>
      <c r="I18" s="28">
        <f>SUM(I11:I17)</f>
        <v>0</v>
      </c>
      <c r="J18" s="29">
        <f>SUM(J11:J17)</f>
        <v>27</v>
      </c>
    </row>
    <row r="19" spans="2:10" ht="21" hidden="1" customHeight="1">
      <c r="B19" s="30"/>
      <c r="C19" s="30"/>
      <c r="E19" s="30"/>
      <c r="F19" s="31"/>
      <c r="G19" s="32"/>
      <c r="H19" s="32"/>
      <c r="I19" s="33"/>
      <c r="J19" s="34"/>
    </row>
    <row r="20" spans="2:10" ht="21" hidden="1" customHeight="1">
      <c r="C20" s="6"/>
      <c r="F20" s="31"/>
      <c r="G20" s="35"/>
      <c r="H20" s="35"/>
      <c r="I20" s="35"/>
      <c r="J20" s="36"/>
    </row>
    <row r="21" spans="2:10">
      <c r="B21" s="51">
        <v>46167</v>
      </c>
      <c r="C21" s="45" t="s">
        <v>33</v>
      </c>
      <c r="D21"/>
    </row>
    <row r="22" spans="2:10" ht="28.5" customHeight="1">
      <c r="B22" s="51">
        <v>46169</v>
      </c>
      <c r="C22" s="46" t="s">
        <v>35</v>
      </c>
      <c r="D22" s="42"/>
      <c r="E22" s="30"/>
      <c r="F22" s="88" t="s">
        <v>28</v>
      </c>
      <c r="G22" s="88"/>
      <c r="H22" s="88"/>
      <c r="I22" s="37"/>
      <c r="J22" s="38">
        <f>'week 1'!J22</f>
        <v>46173</v>
      </c>
    </row>
    <row r="23" spans="2:10" ht="14.25">
      <c r="D23" s="43"/>
      <c r="F23" s="39" t="s">
        <v>26</v>
      </c>
      <c r="G23" s="40"/>
      <c r="J23" s="41" t="s">
        <v>11</v>
      </c>
    </row>
    <row r="24" spans="2:10" ht="21" customHeight="1">
      <c r="B24" s="44"/>
      <c r="C24" s="25"/>
      <c r="F24" s="88" t="s">
        <v>32</v>
      </c>
      <c r="G24" s="88"/>
      <c r="H24" s="88"/>
      <c r="I24" s="37"/>
      <c r="J24" s="38">
        <v>46173</v>
      </c>
    </row>
    <row r="25" spans="2:10" ht="14.25">
      <c r="F25" s="39" t="s">
        <v>27</v>
      </c>
      <c r="G25" s="40"/>
      <c r="J25" s="41" t="s">
        <v>11</v>
      </c>
    </row>
  </sheetData>
  <sheetProtection selectLockedCells="1" selectUnlockedCells="1"/>
  <mergeCells count="14">
    <mergeCell ref="B2:E2"/>
    <mergeCell ref="B4:E4"/>
    <mergeCell ref="I4:J4"/>
    <mergeCell ref="B5:E5"/>
    <mergeCell ref="B6:E6"/>
    <mergeCell ref="I6:J6"/>
    <mergeCell ref="F22:H22"/>
    <mergeCell ref="F24:H24"/>
    <mergeCell ref="D7:E7"/>
    <mergeCell ref="I7:J7"/>
    <mergeCell ref="D8:E8"/>
    <mergeCell ref="I8:J8"/>
    <mergeCell ref="D9:E9"/>
    <mergeCell ref="I9:J9"/>
  </mergeCells>
  <dataValidations count="1">
    <dataValidation type="time" allowBlank="1" showErrorMessage="1" errorTitle="Invalid Entry" error="Please enter time in military time format between 0:00 and 23:59 (1:00, 8:00, 13:00, 20:00, etc.)." sqref="D11:E17" xr:uid="{EBDF5D68-88E8-4DB1-9122-E7E76F2E5834}">
      <formula1>0</formula1>
      <formula2>0.999305555555556</formula2>
    </dataValidation>
  </dataValidations>
  <hyperlinks>
    <hyperlink ref="B8" r:id="rId1" xr:uid="{AF68E4F0-665B-456B-A00D-28A95BBC365C}"/>
    <hyperlink ref="I7" r:id="rId2" xr:uid="{FEDD6101-4BCF-4C60-A5DA-D307780EBC48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9ed4f0-8c08-4992-bf94-7656ac99353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8420BC62479E438D61342B251A42BD" ma:contentTypeVersion="18" ma:contentTypeDescription="Create a new document." ma:contentTypeScope="" ma:versionID="2881b9a864189385e05b474a39e03a67">
  <xsd:schema xmlns:xsd="http://www.w3.org/2001/XMLSchema" xmlns:xs="http://www.w3.org/2001/XMLSchema" xmlns:p="http://schemas.microsoft.com/office/2006/metadata/properties" xmlns:ns3="2f9ed4f0-8c08-4992-bf94-7656ac993537" xmlns:ns4="d2fc84e5-cbd7-448b-b693-44fd3dac58cb" targetNamespace="http://schemas.microsoft.com/office/2006/metadata/properties" ma:root="true" ma:fieldsID="d937813c0770c5a24a16570a88f221db" ns3:_="" ns4:_="">
    <xsd:import namespace="2f9ed4f0-8c08-4992-bf94-7656ac993537"/>
    <xsd:import namespace="d2fc84e5-cbd7-448b-b693-44fd3dac58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9ed4f0-8c08-4992-bf94-7656ac9935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fc84e5-cbd7-448b-b693-44fd3dac58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72EEE2-02E8-40E1-B3DC-66D89AEC9EA6}">
  <ds:schemaRefs>
    <ds:schemaRef ds:uri="http://purl.org/dc/terms/"/>
    <ds:schemaRef ds:uri="http://purl.org/dc/elements/1.1/"/>
    <ds:schemaRef ds:uri="http://www.w3.org/XML/1998/namespace"/>
    <ds:schemaRef ds:uri="d2fc84e5-cbd7-448b-b693-44fd3dac58cb"/>
    <ds:schemaRef ds:uri="http://purl.org/dc/dcmitype/"/>
    <ds:schemaRef ds:uri="2f9ed4f0-8c08-4992-bf94-7656ac9935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6616442-E700-4308-9300-5C0F26D536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E42F6E-C970-4FF8-B4F7-B7053C94E5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9ed4f0-8c08-4992-bf94-7656ac993537"/>
    <ds:schemaRef ds:uri="d2fc84e5-cbd7-448b-b693-44fd3dac58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Totals</vt:lpstr>
      <vt:lpstr>week 1</vt:lpstr>
      <vt:lpstr>week 2</vt:lpstr>
      <vt:lpstr>week 3</vt:lpstr>
      <vt:lpstr>week 4</vt:lpstr>
      <vt:lpstr>week 5 if applicable</vt:lpstr>
      <vt:lpstr>'week 1'!Print_Area</vt:lpstr>
      <vt:lpstr>'week 2'!Print_Area</vt:lpstr>
      <vt:lpstr>'week 3'!Print_Area</vt:lpstr>
      <vt:lpstr>'week 4'!Print_Area</vt:lpstr>
      <vt:lpstr>'week 5 if applicable'!Print_Area</vt:lpstr>
    </vt:vector>
  </TitlesOfParts>
  <Manager/>
  <Company>Howard County Public Schools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Desiree Anson</dc:creator>
  <cp:keywords/>
  <dc:description/>
  <cp:lastModifiedBy>Eric Morris</cp:lastModifiedBy>
  <cp:revision/>
  <cp:lastPrinted>2022-03-31T19:46:36Z</cp:lastPrinted>
  <dcterms:created xsi:type="dcterms:W3CDTF">2020-03-16T12:29:03Z</dcterms:created>
  <dcterms:modified xsi:type="dcterms:W3CDTF">2026-05-31T17:50:40Z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0x0101005B8420BC62479E438D61342B251A42BD</vt:lpwstr>
  </property>
</Properties>
</file>