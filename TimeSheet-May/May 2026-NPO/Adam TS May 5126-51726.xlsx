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32a1d5aa51f61/Documents/TCPR/Time Sheet/NPO/2026/May 2026/"/>
    </mc:Choice>
  </mc:AlternateContent>
  <xr:revisionPtr revIDLastSave="16" documentId="8_{1D3125CE-C0F1-46D9-8655-A0B4C5B6CA15}" xr6:coauthVersionLast="47" xr6:coauthVersionMax="47" xr10:uidLastSave="{F6B5B1C5-F827-47D2-BD77-4A12AFE709A3}"/>
  <bookViews>
    <workbookView xWindow="-120" yWindow="-120" windowWidth="20730" windowHeight="11040" activeTab="4" xr2:uid="{41DDD573-434A-45C0-B4F2-1C50CAF2876D}"/>
  </bookViews>
  <sheets>
    <sheet name="May week1" sheetId="4" r:id="rId1"/>
    <sheet name="May wek2" sheetId="2" r:id="rId2"/>
    <sheet name="Maywek3" sheetId="1" r:id="rId3"/>
    <sheet name="May week4" sheetId="3" r:id="rId4"/>
    <sheet name="May week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E12" i="5"/>
  <c r="B5" i="5"/>
  <c r="F12" i="4"/>
  <c r="E12" i="4"/>
  <c r="B5" i="4"/>
  <c r="F12" i="3"/>
  <c r="E12" i="3"/>
  <c r="B5" i="3"/>
  <c r="B6" i="3" s="1"/>
  <c r="B7" i="3" s="1"/>
  <c r="B8" i="3" s="1"/>
  <c r="B9" i="3" s="1"/>
  <c r="B10" i="3" s="1"/>
  <c r="F12" i="2"/>
  <c r="E12" i="2"/>
  <c r="B10" i="2"/>
  <c r="B9" i="2"/>
  <c r="B6" i="2"/>
  <c r="B7" i="2" s="1"/>
  <c r="B5" i="2"/>
  <c r="B8" i="1"/>
  <c r="B9" i="1" s="1"/>
  <c r="B10" i="1" s="1"/>
  <c r="E12" i="1"/>
  <c r="B5" i="1"/>
  <c r="B6" i="1" s="1"/>
  <c r="B7" i="1" s="1"/>
  <c r="F12" i="1"/>
  <c r="B6" i="5" l="1"/>
  <c r="B7" i="5" s="1"/>
  <c r="B8" i="5" s="1"/>
  <c r="B9" i="5" s="1"/>
  <c r="B10" i="5" s="1"/>
  <c r="B6" i="4"/>
  <c r="B7" i="4" s="1"/>
</calcChain>
</file>

<file path=xl/sharedStrings.xml><?xml version="1.0" encoding="utf-8"?>
<sst xmlns="http://schemas.openxmlformats.org/spreadsheetml/2006/main" count="116" uniqueCount="28">
  <si>
    <t>DAY</t>
  </si>
  <si>
    <t xml:space="preserve">DATE </t>
  </si>
  <si>
    <t>NUMBER OF REGULAR HOURS</t>
  </si>
  <si>
    <t>NUMBER OF OVERTIME HOURS</t>
  </si>
  <si>
    <t xml:space="preserve"> NOTES</t>
  </si>
  <si>
    <t>MONDAY</t>
  </si>
  <si>
    <t>TUESDAY</t>
  </si>
  <si>
    <t>WEDNESDAY</t>
  </si>
  <si>
    <t>THURSDAY</t>
  </si>
  <si>
    <t>FRIDAY</t>
  </si>
  <si>
    <t>SATURDAY</t>
  </si>
  <si>
    <t>SUNDAY</t>
  </si>
  <si>
    <t>NUMBER OF WEEKLY REGULAR HOURS</t>
  </si>
  <si>
    <t>NUMBER OF WEEKLY OVERTIME HOURS</t>
  </si>
  <si>
    <t>NUMBER OF 
WEEKLY ONCALL SHIFT 
(enter either 0 or 1)</t>
  </si>
  <si>
    <t>TIME IN</t>
  </si>
  <si>
    <t>TIME OUT</t>
  </si>
  <si>
    <t>Adam Linke, Weekly Time Record</t>
  </si>
  <si>
    <t>WEEK _ TOTALS</t>
  </si>
  <si>
    <t>Meetings, Dashboards and reports. L1 / L2 Support. Updating tools access and project support</t>
  </si>
  <si>
    <t xml:space="preserve">Onsite support, dashboard prep, New hires and orientation Support for L1 transition and KT. Remote support after hours </t>
  </si>
  <si>
    <t xml:space="preserve">Offsite support and supporting L1 teams. Setting up new hires and support </t>
  </si>
  <si>
    <t xml:space="preserve">Onsite support, Dashboads, proejcts for Global Protect support and Network support </t>
  </si>
  <si>
    <t xml:space="preserve">Onsite support, dashboard prep, New hires and orientation </t>
  </si>
  <si>
    <t xml:space="preserve">Migrating tools to in-house, KT and handoff. Onsite support </t>
  </si>
  <si>
    <t xml:space="preserve">Meetings, Dashboards and reports. L1 / L2 Support. Updating App for Navan SSO. </t>
  </si>
  <si>
    <t xml:space="preserve">Onsite support. Global Protect isuses and Claude requests. Updating documentation for L1 teams </t>
  </si>
  <si>
    <t xml:space="preserve">Remote support, reset passwords, L1 backup and meetings. Training for GP Admin and leaving early.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</si>
</sst>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/>
    </xf>
    <xf numFmtId="0" fontId="5" fillId="7" borderId="8" xfId="0" applyFont="1" applyFill="1" applyBorder="1" applyAlignment="1">
      <alignment horizontal="left" wrapText="1"/>
    </xf>
    <xf numFmtId="0" fontId="6" fillId="7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 wrapText="1"/>
    </xf>
    <xf numFmtId="0" fontId="4" fillId="5" borderId="10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left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wrapText="1"/>
    </xf>
    <xf numFmtId="0" fontId="10" fillId="7" borderId="22" xfId="0" applyFont="1" applyFill="1" applyBorder="1" applyAlignment="1">
      <alignment horizontal="center"/>
    </xf>
    <xf numFmtId="18" fontId="4" fillId="7" borderId="8" xfId="0" applyNumberFormat="1" applyFont="1" applyFill="1" applyBorder="1" applyAlignment="1">
      <alignment horizontal="left" wrapText="1"/>
    </xf>
    <xf numFmtId="15" fontId="4" fillId="6" borderId="8" xfId="0" applyNumberFormat="1" applyFont="1" applyFill="1" applyBorder="1" applyAlignment="1">
      <alignment horizontal="center" wrapText="1"/>
    </xf>
    <xf numFmtId="2" fontId="4" fillId="7" borderId="8" xfId="0" applyNumberFormat="1" applyFont="1" applyFill="1" applyBorder="1" applyAlignment="1">
      <alignment horizontal="left" wrapText="1"/>
    </xf>
    <xf numFmtId="2" fontId="9" fillId="6" borderId="2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55DC-9205-4689-83E7-F401CDDDB244}">
  <dimension ref="A1:G23"/>
  <sheetViews>
    <sheetView workbookViewId="0">
      <selection activeCell="E9" sqref="E9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46139</v>
      </c>
      <c r="C4" s="17"/>
      <c r="D4" s="17"/>
      <c r="E4" s="19"/>
      <c r="F4" s="6"/>
      <c r="G4" s="7"/>
    </row>
    <row r="5" spans="1:7" ht="15.75" x14ac:dyDescent="0.25">
      <c r="A5" s="8" t="s">
        <v>6</v>
      </c>
      <c r="B5" s="18">
        <f>(B4)+1</f>
        <v>46140</v>
      </c>
      <c r="C5" s="17"/>
      <c r="D5" s="17"/>
      <c r="E5" s="19"/>
      <c r="F5" s="9"/>
      <c r="G5" s="7"/>
    </row>
    <row r="6" spans="1:7" ht="15.75" x14ac:dyDescent="0.25">
      <c r="A6" s="10" t="s">
        <v>7</v>
      </c>
      <c r="B6" s="18">
        <f>(B5)+1</f>
        <v>46141</v>
      </c>
      <c r="C6" s="17"/>
      <c r="D6" s="17"/>
      <c r="E6" s="19"/>
      <c r="F6" s="9"/>
      <c r="G6" s="7"/>
    </row>
    <row r="7" spans="1:7" ht="15.75" x14ac:dyDescent="0.25">
      <c r="A7" s="8" t="s">
        <v>8</v>
      </c>
      <c r="B7" s="18">
        <f t="shared" ref="B7" si="0">(B6)+1</f>
        <v>46142</v>
      </c>
      <c r="C7" s="17"/>
      <c r="D7" s="17"/>
      <c r="E7" s="19"/>
      <c r="F7" s="9"/>
      <c r="G7" s="7"/>
    </row>
    <row r="8" spans="1:7" ht="15.75" x14ac:dyDescent="0.25">
      <c r="A8" s="8" t="s">
        <v>9</v>
      </c>
      <c r="B8" s="18">
        <v>46143</v>
      </c>
      <c r="C8" s="17">
        <v>0.25</v>
      </c>
      <c r="D8" s="17">
        <v>0.66666666666666663</v>
      </c>
      <c r="E8" s="19">
        <v>8</v>
      </c>
      <c r="F8" s="9">
        <v>1</v>
      </c>
      <c r="G8" s="7" t="s">
        <v>25</v>
      </c>
    </row>
    <row r="9" spans="1:7" ht="15.75" x14ac:dyDescent="0.25">
      <c r="A9" s="10" t="s">
        <v>10</v>
      </c>
      <c r="B9" s="18"/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/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8</v>
      </c>
      <c r="F12" s="15">
        <f>SUM(F4:F10)</f>
        <v>1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6C74-505B-4CEC-A4CF-1C9C9E1D696D}">
  <dimension ref="A1:G23"/>
  <sheetViews>
    <sheetView topLeftCell="A3" workbookViewId="0">
      <selection sqref="A1:XFD1048576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46146</v>
      </c>
      <c r="C4" s="17">
        <v>0.25</v>
      </c>
      <c r="D4" s="17">
        <v>0.66666666666666663</v>
      </c>
      <c r="E4" s="19">
        <v>8</v>
      </c>
      <c r="F4" s="6">
        <v>1</v>
      </c>
      <c r="G4" s="7" t="s">
        <v>23</v>
      </c>
    </row>
    <row r="5" spans="1:7" ht="15.75" x14ac:dyDescent="0.25">
      <c r="A5" s="8" t="s">
        <v>6</v>
      </c>
      <c r="B5" s="18">
        <f>(B4)+1</f>
        <v>46147</v>
      </c>
      <c r="C5" s="17">
        <v>0.25</v>
      </c>
      <c r="D5" s="17">
        <v>0.70833333333333337</v>
      </c>
      <c r="E5" s="19">
        <v>8</v>
      </c>
      <c r="F5" s="9">
        <v>2</v>
      </c>
      <c r="G5" s="7" t="s">
        <v>19</v>
      </c>
    </row>
    <row r="6" spans="1:7" ht="15.75" x14ac:dyDescent="0.25">
      <c r="A6" s="10" t="s">
        <v>7</v>
      </c>
      <c r="B6" s="18">
        <f>(B5)+1</f>
        <v>46148</v>
      </c>
      <c r="C6" s="17">
        <v>0.25</v>
      </c>
      <c r="D6" s="17">
        <v>0.66666666666666663</v>
      </c>
      <c r="E6" s="19">
        <v>8</v>
      </c>
      <c r="F6" s="9"/>
      <c r="G6" s="7" t="s">
        <v>24</v>
      </c>
    </row>
    <row r="7" spans="1:7" ht="15.75" x14ac:dyDescent="0.25">
      <c r="A7" s="8" t="s">
        <v>8</v>
      </c>
      <c r="B7" s="18">
        <f t="shared" ref="B7" si="0">(B6)+1</f>
        <v>46149</v>
      </c>
      <c r="C7" s="17">
        <v>0.25</v>
      </c>
      <c r="D7" s="17">
        <v>0.66666666666666663</v>
      </c>
      <c r="E7" s="19">
        <v>8</v>
      </c>
      <c r="F7" s="9"/>
      <c r="G7" s="7" t="s">
        <v>23</v>
      </c>
    </row>
    <row r="8" spans="1:7" ht="15.75" x14ac:dyDescent="0.25">
      <c r="A8" s="8" t="s">
        <v>9</v>
      </c>
      <c r="B8" s="18">
        <v>46150</v>
      </c>
      <c r="C8" s="17">
        <v>0.25</v>
      </c>
      <c r="D8" s="17">
        <v>0.66666666666666663</v>
      </c>
      <c r="E8" s="19">
        <v>8</v>
      </c>
      <c r="F8" s="9">
        <v>1</v>
      </c>
      <c r="G8" s="7" t="s">
        <v>25</v>
      </c>
    </row>
    <row r="9" spans="1:7" ht="15.75" x14ac:dyDescent="0.25">
      <c r="A9" s="10" t="s">
        <v>10</v>
      </c>
      <c r="B9" s="18">
        <f>(B8)+1</f>
        <v>46151</v>
      </c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>
        <f>(B9)+1</f>
        <v>46152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40</v>
      </c>
      <c r="F12" s="15">
        <f>SUM(F4:F10)</f>
        <v>4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9D82-1B42-49E9-B6E2-E7269B1BE716}">
  <dimension ref="A1:G23"/>
  <sheetViews>
    <sheetView topLeftCell="A5" zoomScale="87" zoomScaleNormal="87" workbookViewId="0">
      <selection activeCell="J11" sqref="J11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31.35" customHeight="1" x14ac:dyDescent="0.25">
      <c r="A4" s="5" t="s">
        <v>5</v>
      </c>
      <c r="B4" s="18">
        <v>46153</v>
      </c>
      <c r="C4" s="17">
        <v>0.25</v>
      </c>
      <c r="D4" s="17">
        <v>0.70833333333333337</v>
      </c>
      <c r="E4" s="19">
        <v>8</v>
      </c>
      <c r="F4" s="6">
        <v>3</v>
      </c>
      <c r="G4" s="7" t="s">
        <v>20</v>
      </c>
    </row>
    <row r="5" spans="1:7" ht="31.35" customHeight="1" x14ac:dyDescent="0.25">
      <c r="A5" s="8" t="s">
        <v>6</v>
      </c>
      <c r="B5" s="18">
        <f>(B4)+1</f>
        <v>46154</v>
      </c>
      <c r="C5" s="17">
        <v>0.25</v>
      </c>
      <c r="D5" s="17">
        <v>0.70833333333333337</v>
      </c>
      <c r="E5" s="19">
        <v>8</v>
      </c>
      <c r="F5" s="9">
        <v>2</v>
      </c>
      <c r="G5" s="7" t="s">
        <v>19</v>
      </c>
    </row>
    <row r="6" spans="1:7" ht="31.35" customHeight="1" x14ac:dyDescent="0.25">
      <c r="A6" s="10" t="s">
        <v>7</v>
      </c>
      <c r="B6" s="18">
        <f>(B5)+1</f>
        <v>46155</v>
      </c>
      <c r="C6" s="17">
        <v>0.25</v>
      </c>
      <c r="D6" s="17">
        <v>0.625</v>
      </c>
      <c r="E6" s="19">
        <v>8</v>
      </c>
      <c r="F6" s="9"/>
      <c r="G6" s="7" t="s">
        <v>21</v>
      </c>
    </row>
    <row r="7" spans="1:7" ht="31.35" customHeight="1" x14ac:dyDescent="0.25">
      <c r="A7" s="8" t="s">
        <v>8</v>
      </c>
      <c r="B7" s="18">
        <f t="shared" ref="B7:B8" si="0">(B6)+1</f>
        <v>46156</v>
      </c>
      <c r="C7" s="17">
        <v>0.22916666666666666</v>
      </c>
      <c r="D7" s="17">
        <v>0.66666666666666663</v>
      </c>
      <c r="E7" s="19">
        <v>8</v>
      </c>
      <c r="F7" s="9">
        <v>2</v>
      </c>
      <c r="G7" s="7" t="s">
        <v>22</v>
      </c>
    </row>
    <row r="8" spans="1:7" ht="31.35" customHeight="1" x14ac:dyDescent="0.25">
      <c r="A8" s="8" t="s">
        <v>9</v>
      </c>
      <c r="B8" s="18">
        <f t="shared" si="0"/>
        <v>46157</v>
      </c>
      <c r="C8" s="17">
        <v>0.25</v>
      </c>
      <c r="D8" s="17">
        <v>0.58333333333333337</v>
      </c>
      <c r="E8" s="19">
        <v>8</v>
      </c>
      <c r="F8" s="9"/>
      <c r="G8" s="7" t="s">
        <v>19</v>
      </c>
    </row>
    <row r="9" spans="1:7" ht="31.35" customHeight="1" x14ac:dyDescent="0.25">
      <c r="A9" s="10" t="s">
        <v>10</v>
      </c>
      <c r="B9" s="18">
        <f>(B8)+1</f>
        <v>46158</v>
      </c>
      <c r="C9" s="17"/>
      <c r="D9" s="17"/>
      <c r="E9" s="9"/>
      <c r="F9" s="9"/>
      <c r="G9" s="7"/>
    </row>
    <row r="10" spans="1:7" ht="30" customHeight="1" thickBot="1" x14ac:dyDescent="0.3">
      <c r="A10" s="11" t="s">
        <v>11</v>
      </c>
      <c r="B10" s="18">
        <f>(B9)+1</f>
        <v>46159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" x14ac:dyDescent="0.35">
      <c r="A12" s="30"/>
      <c r="B12" s="31"/>
      <c r="C12" s="31"/>
      <c r="D12" s="32"/>
      <c r="E12" s="20">
        <f>SUM(E4:E10)</f>
        <v>40</v>
      </c>
      <c r="F12" s="15">
        <f>SUM(F4:F10)</f>
        <v>7</v>
      </c>
      <c r="G12" s="16">
        <v>0</v>
      </c>
    </row>
    <row r="17" ht="31.35" customHeight="1" x14ac:dyDescent="0.25"/>
    <row r="18" ht="31.35" customHeight="1" x14ac:dyDescent="0.25"/>
    <row r="19" ht="31.35" customHeight="1" x14ac:dyDescent="0.25"/>
    <row r="20" ht="31.35" customHeight="1" x14ac:dyDescent="0.25"/>
    <row r="21" ht="31.35" customHeight="1" x14ac:dyDescent="0.25"/>
    <row r="22" ht="31.35" customHeight="1" x14ac:dyDescent="0.25"/>
    <row r="23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  <pageSetup orientation="portrait" r:id="rId1"/>
  <headerFooter>
    <oddHeader>&amp;R&amp;"Calibri"&amp;10&amp;K393939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840E-F3E7-46E0-BF02-189997F656B3}">
  <dimension ref="A1:G23"/>
  <sheetViews>
    <sheetView topLeftCell="A3" workbookViewId="0">
      <selection sqref="A1:XFD1048576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46160</v>
      </c>
      <c r="C4" s="17">
        <v>0.25</v>
      </c>
      <c r="D4" s="17">
        <v>0.70833333333333337</v>
      </c>
      <c r="E4" s="19">
        <v>8</v>
      </c>
      <c r="F4" s="6">
        <v>3</v>
      </c>
      <c r="G4" s="7" t="s">
        <v>20</v>
      </c>
    </row>
    <row r="5" spans="1:7" ht="15.75" x14ac:dyDescent="0.25">
      <c r="A5" s="8" t="s">
        <v>6</v>
      </c>
      <c r="B5" s="18">
        <f>(B4)+1</f>
        <v>46161</v>
      </c>
      <c r="C5" s="17">
        <v>0.25</v>
      </c>
      <c r="D5" s="17">
        <v>0.70833333333333337</v>
      </c>
      <c r="E5" s="19">
        <v>8</v>
      </c>
      <c r="F5" s="9">
        <v>2</v>
      </c>
      <c r="G5" s="7" t="s">
        <v>19</v>
      </c>
    </row>
    <row r="6" spans="1:7" ht="15.75" x14ac:dyDescent="0.25">
      <c r="A6" s="10" t="s">
        <v>7</v>
      </c>
      <c r="B6" s="18">
        <f>(B5)+1</f>
        <v>46162</v>
      </c>
      <c r="C6" s="17">
        <v>0.25</v>
      </c>
      <c r="D6" s="17">
        <v>0.70833333333333337</v>
      </c>
      <c r="E6" s="19">
        <v>8</v>
      </c>
      <c r="F6" s="9">
        <v>2</v>
      </c>
      <c r="G6" s="7" t="s">
        <v>26</v>
      </c>
    </row>
    <row r="7" spans="1:7" ht="15.75" x14ac:dyDescent="0.25">
      <c r="A7" s="8" t="s">
        <v>8</v>
      </c>
      <c r="B7" s="18">
        <f t="shared" ref="B7:B8" si="0">(B6)+1</f>
        <v>46163</v>
      </c>
      <c r="C7" s="17">
        <v>0.25</v>
      </c>
      <c r="D7" s="17">
        <v>0.66666666666666663</v>
      </c>
      <c r="E7" s="19">
        <v>8</v>
      </c>
      <c r="F7" s="9"/>
      <c r="G7" s="7" t="s">
        <v>22</v>
      </c>
    </row>
    <row r="8" spans="1:7" ht="15.75" x14ac:dyDescent="0.25">
      <c r="A8" s="8" t="s">
        <v>9</v>
      </c>
      <c r="B8" s="18">
        <f t="shared" si="0"/>
        <v>46164</v>
      </c>
      <c r="C8" s="17">
        <v>0.25</v>
      </c>
      <c r="D8" s="17">
        <v>0.5</v>
      </c>
      <c r="E8" s="19">
        <v>6</v>
      </c>
      <c r="F8" s="9"/>
      <c r="G8" s="7" t="s">
        <v>27</v>
      </c>
    </row>
    <row r="9" spans="1:7" ht="15.75" x14ac:dyDescent="0.25">
      <c r="A9" s="10" t="s">
        <v>10</v>
      </c>
      <c r="B9" s="18">
        <f>(B8)+1</f>
        <v>46165</v>
      </c>
      <c r="C9" s="17"/>
      <c r="D9" s="17"/>
      <c r="E9" s="9"/>
      <c r="F9" s="9"/>
      <c r="G9" s="7"/>
    </row>
    <row r="10" spans="1:7" ht="16.5" thickBot="1" x14ac:dyDescent="0.3">
      <c r="A10" s="11" t="s">
        <v>11</v>
      </c>
      <c r="B10" s="18">
        <f>(B9)+1</f>
        <v>46166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38</v>
      </c>
      <c r="F12" s="15">
        <f>SUM(F4:F10)</f>
        <v>7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343D-6D12-4E1B-A793-CAB823A0A0A9}">
  <dimension ref="A1:G23"/>
  <sheetViews>
    <sheetView tabSelected="1" workbookViewId="0">
      <selection activeCell="G9" sqref="G9"/>
    </sheetView>
  </sheetViews>
  <sheetFormatPr defaultColWidth="8.85546875" defaultRowHeight="15" x14ac:dyDescent="0.25"/>
  <cols>
    <col min="1" max="1" width="13.140625" customWidth="1"/>
    <col min="2" max="2" width="13.28515625" customWidth="1"/>
    <col min="3" max="3" width="16.140625" customWidth="1"/>
    <col min="4" max="4" width="15.42578125" customWidth="1"/>
    <col min="5" max="5" width="12.140625" customWidth="1"/>
    <col min="6" max="6" width="13.140625" customWidth="1"/>
    <col min="7" max="7" width="94.28515625" customWidth="1"/>
  </cols>
  <sheetData>
    <row r="1" spans="1:7" ht="34.5" thickBot="1" x14ac:dyDescent="0.55000000000000004">
      <c r="A1" s="21" t="s">
        <v>17</v>
      </c>
      <c r="B1" s="22"/>
      <c r="C1" s="22"/>
      <c r="D1" s="22"/>
      <c r="E1" s="22"/>
      <c r="F1" s="22"/>
      <c r="G1" s="23"/>
    </row>
    <row r="2" spans="1:7" ht="24" thickBot="1" x14ac:dyDescent="0.4">
      <c r="A2" s="24"/>
      <c r="B2" s="25"/>
      <c r="C2" s="25"/>
      <c r="D2" s="25"/>
      <c r="E2" s="25"/>
      <c r="F2" s="25"/>
      <c r="G2" s="26"/>
    </row>
    <row r="3" spans="1:7" ht="75.75" thickBot="1" x14ac:dyDescent="0.3">
      <c r="A3" s="1" t="s">
        <v>0</v>
      </c>
      <c r="B3" s="2" t="s">
        <v>1</v>
      </c>
      <c r="C3" s="2" t="s">
        <v>15</v>
      </c>
      <c r="D3" s="2" t="s">
        <v>16</v>
      </c>
      <c r="E3" s="3" t="s">
        <v>2</v>
      </c>
      <c r="F3" s="3" t="s">
        <v>3</v>
      </c>
      <c r="G3" s="4" t="s">
        <v>4</v>
      </c>
    </row>
    <row r="4" spans="1:7" ht="15.75" x14ac:dyDescent="0.25">
      <c r="A4" s="5" t="s">
        <v>5</v>
      </c>
      <c r="B4" s="18">
        <v>46167</v>
      </c>
      <c r="C4" s="17">
        <v>0.25</v>
      </c>
      <c r="D4" s="17">
        <v>0.70833333333333337</v>
      </c>
      <c r="E4" s="19">
        <v>8</v>
      </c>
      <c r="F4" s="6">
        <v>3</v>
      </c>
      <c r="G4" s="7" t="s">
        <v>20</v>
      </c>
    </row>
    <row r="5" spans="1:7" ht="15.75" x14ac:dyDescent="0.25">
      <c r="A5" s="8" t="s">
        <v>6</v>
      </c>
      <c r="B5" s="18">
        <f>(B4)+1</f>
        <v>46168</v>
      </c>
      <c r="C5" s="17">
        <v>0.25</v>
      </c>
      <c r="D5" s="17">
        <v>0.625</v>
      </c>
      <c r="E5" s="19">
        <v>8</v>
      </c>
      <c r="F5" s="9"/>
      <c r="G5" s="7" t="s">
        <v>19</v>
      </c>
    </row>
    <row r="6" spans="1:7" ht="15.75" x14ac:dyDescent="0.25">
      <c r="A6" s="10" t="s">
        <v>7</v>
      </c>
      <c r="B6" s="18">
        <f>(B5)+1</f>
        <v>46169</v>
      </c>
      <c r="C6" s="17">
        <v>0.25</v>
      </c>
      <c r="D6" s="17">
        <v>0.66666666666666663</v>
      </c>
      <c r="E6" s="19">
        <v>8</v>
      </c>
      <c r="F6" s="9">
        <v>2</v>
      </c>
      <c r="G6" s="7" t="s">
        <v>26</v>
      </c>
    </row>
    <row r="7" spans="1:7" ht="15.75" x14ac:dyDescent="0.25">
      <c r="A7" s="8" t="s">
        <v>8</v>
      </c>
      <c r="B7" s="18">
        <f t="shared" ref="B7:B8" si="0">(B6)+1</f>
        <v>46170</v>
      </c>
      <c r="C7" s="17">
        <v>0.25</v>
      </c>
      <c r="D7" s="17">
        <v>0.625</v>
      </c>
      <c r="E7" s="19">
        <v>8</v>
      </c>
      <c r="F7" s="9"/>
      <c r="G7" s="7" t="s">
        <v>22</v>
      </c>
    </row>
    <row r="8" spans="1:7" ht="15.75" x14ac:dyDescent="0.25">
      <c r="A8" s="8" t="s">
        <v>9</v>
      </c>
      <c r="B8" s="18">
        <f t="shared" si="0"/>
        <v>46171</v>
      </c>
      <c r="C8" s="17">
        <v>0.27083333333333331</v>
      </c>
      <c r="D8" s="17">
        <v>0.60416666666666663</v>
      </c>
      <c r="E8" s="19">
        <v>8</v>
      </c>
      <c r="F8" s="9"/>
      <c r="G8" s="7" t="s">
        <v>27</v>
      </c>
    </row>
    <row r="9" spans="1:7" ht="15.75" x14ac:dyDescent="0.25">
      <c r="A9" s="10" t="s">
        <v>10</v>
      </c>
      <c r="B9" s="18">
        <f>(B8)+1</f>
        <v>46172</v>
      </c>
      <c r="C9" s="17"/>
      <c r="D9" s="17"/>
      <c r="E9" s="9"/>
      <c r="F9" s="9"/>
      <c r="G9" s="7">
        <v>7</v>
      </c>
    </row>
    <row r="10" spans="1:7" ht="16.5" thickBot="1" x14ac:dyDescent="0.3">
      <c r="A10" s="11" t="s">
        <v>11</v>
      </c>
      <c r="B10" s="18">
        <f>(B9)+1</f>
        <v>46173</v>
      </c>
      <c r="C10" s="17"/>
      <c r="D10" s="17"/>
      <c r="E10" s="12"/>
      <c r="F10" s="12"/>
      <c r="G10" s="7"/>
    </row>
    <row r="11" spans="1:7" ht="94.5" thickBot="1" x14ac:dyDescent="0.3">
      <c r="A11" s="27" t="s">
        <v>18</v>
      </c>
      <c r="B11" s="28"/>
      <c r="C11" s="28"/>
      <c r="D11" s="29"/>
      <c r="E11" s="13" t="s">
        <v>12</v>
      </c>
      <c r="F11" s="3" t="s">
        <v>13</v>
      </c>
      <c r="G11" s="14" t="s">
        <v>14</v>
      </c>
    </row>
    <row r="12" spans="1:7" ht="21.75" thickBot="1" x14ac:dyDescent="0.4">
      <c r="A12" s="30"/>
      <c r="B12" s="31"/>
      <c r="C12" s="31"/>
      <c r="D12" s="32"/>
      <c r="E12" s="20">
        <f>SUM(E4:E10)</f>
        <v>40</v>
      </c>
      <c r="F12" s="15">
        <f>SUM(F4:F10)</f>
        <v>5</v>
      </c>
      <c r="G12" s="16">
        <v>0</v>
      </c>
    </row>
    <row r="17" customFormat="1" ht="31.35" customHeight="1" x14ac:dyDescent="0.25"/>
    <row r="18" customFormat="1" ht="31.35" customHeight="1" x14ac:dyDescent="0.25"/>
    <row r="19" customFormat="1" ht="31.35" customHeight="1" x14ac:dyDescent="0.25"/>
    <row r="20" customFormat="1" ht="31.35" customHeight="1" x14ac:dyDescent="0.25"/>
    <row r="21" customFormat="1" ht="31.35" customHeight="1" x14ac:dyDescent="0.25"/>
    <row r="22" customFormat="1" ht="31.35" customHeight="1" x14ac:dyDescent="0.25"/>
    <row r="23" customFormat="1" ht="30" customHeight="1" x14ac:dyDescent="0.25"/>
  </sheetData>
  <mergeCells count="3">
    <mergeCell ref="A1:G1"/>
    <mergeCell ref="A2:G2"/>
    <mergeCell ref="A11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931A3CD647C04EA010179AB56BB4FF" ma:contentTypeVersion="15" ma:contentTypeDescription="Create a new document." ma:contentTypeScope="" ma:versionID="cbcfaef32264994ea040ec82217604c8">
  <xsd:schema xmlns:xsd="http://www.w3.org/2001/XMLSchema" xmlns:xs="http://www.w3.org/2001/XMLSchema" xmlns:p="http://schemas.microsoft.com/office/2006/metadata/properties" xmlns:ns3="b6e8ef6d-8920-46e0-86ca-64a41b1eaa3c" xmlns:ns4="1fa5210f-caf0-4d0c-ab2e-c6c3b48082f1" targetNamespace="http://schemas.microsoft.com/office/2006/metadata/properties" ma:root="true" ma:fieldsID="a3f69b6870eb0422fcbaa4d963e824da" ns3:_="" ns4:_="">
    <xsd:import namespace="b6e8ef6d-8920-46e0-86ca-64a41b1eaa3c"/>
    <xsd:import namespace="1fa5210f-caf0-4d0c-ab2e-c6c3b48082f1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8ef6d-8920-46e0-86ca-64a41b1eaa3c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5210f-caf0-4d0c-ab2e-c6c3b48082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b6e8ef6d-8920-46e0-86ca-64a41b1eaa3c" xsi:nil="true"/>
    <_activity xmlns="b6e8ef6d-8920-46e0-86ca-64a41b1eaa3c" xsi:nil="true"/>
    <MigrationWizId xmlns="b6e8ef6d-8920-46e0-86ca-64a41b1eaa3c" xsi:nil="true"/>
    <MigrationWizIdPermissions xmlns="b6e8ef6d-8920-46e0-86ca-64a41b1eaa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B0705E-F5B5-4D0E-8B90-9D7E80340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8ef6d-8920-46e0-86ca-64a41b1eaa3c"/>
    <ds:schemaRef ds:uri="1fa5210f-caf0-4d0c-ab2e-c6c3b4808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206397-3BC8-434A-99F1-8FEF072F866E}">
  <ds:schemaRefs>
    <ds:schemaRef ds:uri="http://schemas.microsoft.com/office/2006/metadata/properties"/>
    <ds:schemaRef ds:uri="http://schemas.microsoft.com/office/infopath/2007/PartnerControls"/>
    <ds:schemaRef ds:uri="b6e8ef6d-8920-46e0-86ca-64a41b1eaa3c"/>
  </ds:schemaRefs>
</ds:datastoreItem>
</file>

<file path=customXml/itemProps3.xml><?xml version="1.0" encoding="utf-8"?>
<ds:datastoreItem xmlns:ds="http://schemas.openxmlformats.org/officeDocument/2006/customXml" ds:itemID="{A15BAF41-A8D4-4E19-B4A5-A9D40E2E92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 week1</vt:lpstr>
      <vt:lpstr>May wek2</vt:lpstr>
      <vt:lpstr>Maywek3</vt:lpstr>
      <vt:lpstr>May week4</vt:lpstr>
      <vt:lpstr>May week5</vt:lpstr>
    </vt:vector>
  </TitlesOfParts>
  <Manager/>
  <Company>DiaSorin Molecular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Nnodim, Lyll C.</dc:creator>
  <cp:keywords/>
  <dc:description/>
  <cp:lastModifiedBy>subashini kamalnathsingh</cp:lastModifiedBy>
  <cp:revision/>
  <dcterms:created xsi:type="dcterms:W3CDTF">2022-04-08T21:49:52Z</dcterms:created>
  <dcterms:modified xsi:type="dcterms:W3CDTF">2026-06-02T15:26:24Z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0x010100F2931A3CD647C04EA010179AB56BB4FF</vt:lpwstr>
  </property>
  <property fmtid="{D5CDD505-2E9C-101B-9397-08002B2CF9AE}" pid="3" name="MSIP_Label_13b9917a-c9f7-4fe5-9319-a6ab5aebc5cc_Enabled">
    <vt:lpwstr>true</vt:lpwstr>
  </property>
  <property fmtid="{D5CDD505-2E9C-101B-9397-08002B2CF9AE}" pid="4" name="MSIP_Label_13b9917a-c9f7-4fe5-9319-a6ab5aebc5cc_SetDate">
    <vt:lpwstr>2025-03-18T17:55:41Z</vt:lpwstr>
  </property>
  <property fmtid="{D5CDD505-2E9C-101B-9397-08002B2CF9AE}" pid="5" name="MSIP_Label_13b9917a-c9f7-4fe5-9319-a6ab5aebc5cc_Method">
    <vt:lpwstr>Standard</vt:lpwstr>
  </property>
  <property fmtid="{D5CDD505-2E9C-101B-9397-08002B2CF9AE}" pid="6" name="MSIP_Label_13b9917a-c9f7-4fe5-9319-a6ab5aebc5cc_Name">
    <vt:lpwstr>Internal</vt:lpwstr>
  </property>
  <property fmtid="{D5CDD505-2E9C-101B-9397-08002B2CF9AE}" pid="7" name="MSIP_Label_13b9917a-c9f7-4fe5-9319-a6ab5aebc5cc_SiteId">
    <vt:lpwstr>3d43e001-1b92-4697-b855-1d8ca369b21e</vt:lpwstr>
  </property>
  <property fmtid="{D5CDD505-2E9C-101B-9397-08002B2CF9AE}" pid="8" name="MSIP_Label_13b9917a-c9f7-4fe5-9319-a6ab5aebc5cc_ActionId">
    <vt:lpwstr>f1a4bc43-0af2-4e9a-b668-63ecc1905de3</vt:lpwstr>
  </property>
  <property fmtid="{D5CDD505-2E9C-101B-9397-08002B2CF9AE}" pid="9" name="MSIP_Label_13b9917a-c9f7-4fe5-9319-a6ab5aebc5cc_ContentBits">
    <vt:lpwstr>1</vt:lpwstr>
  </property>
  <property fmtid="{D5CDD505-2E9C-101B-9397-08002B2CF9AE}" pid="10" name="MSIP_Label_13b9917a-c9f7-4fe5-9319-a6ab5aebc5cc_Tag">
    <vt:lpwstr>10, 3, 0, 1</vt:lpwstr>
  </property>
</Properties>
</file>