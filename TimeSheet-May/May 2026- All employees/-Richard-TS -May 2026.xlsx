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Sheets" sheetId="1" r:id="rId5"/>
  </sheets>
  <definedNames/>
  <calcPr/>
</workbook>
</file>

<file path=xl/sharedStrings.xml><?xml version="1.0" encoding="utf-8"?>
<sst xmlns="http://schemas.openxmlformats.org/spreadsheetml/2006/main" count="25" uniqueCount="22">
  <si>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</si>
  <si>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</si>
  <si>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</si>
  <si>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</si>
  <si>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</si>
  <si>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</si>
  <si>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</si>
  <si>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</si>
  <si>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</si>
  <si>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</si>
  <si>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</si>
  <si>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</si>
  <si>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</si>
  <si>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</si>
  <si>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</si>
  <si>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</si>
  <si>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</si>
  <si>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Wed</t>
  </si>
  <si>
    <t>Richard Watson Stephen Amudha</t>
  </si>
  <si>
    <t>Employee signature</t>
  </si>
  <si>
    <t>Dr. Alexander Peter</t>
  </si>
  <si>
    <t>Manager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</si>
</sst>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&lt;=9999999]###\-####;\(###&quot;) &quot;###\-####"/>
    <numFmt numFmtId="166" formatCode="dddd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b/>
      <sz val="22.0"/>
      <color rgb="FFBCBCBC"/>
      <name val="Century Gothic"/>
    </font>
    <font>
      <sz val="9.0"/>
      <color rgb="FF969696"/>
      <name val="Century Gothic"/>
    </font>
    <font>
      <b/>
      <sz val="9.0"/>
      <color theme="1"/>
      <name val="Century Gothic"/>
    </font>
    <font/>
    <font>
      <sz val="9.0"/>
      <color theme="1"/>
      <name val="Century Gothic"/>
    </font>
    <font>
      <u/>
      <sz val="10.0"/>
      <color rgb="FF6896CE"/>
      <name val="Arial"/>
    </font>
    <font>
      <sz val="8.0"/>
      <color theme="1"/>
      <name val="Century Gothic"/>
    </font>
    <font>
      <sz val="12.0"/>
      <color theme="1"/>
      <name val="Century Gothic"/>
    </font>
    <font>
      <b/>
      <sz val="8.0"/>
      <color theme="1"/>
      <name val="Century Gothic"/>
    </font>
    <font>
      <sz val="18.0"/>
      <color theme="1"/>
      <name val="Pinyon Script"/>
    </font>
    <font>
      <sz val="10.0"/>
      <color rgb="FF969696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EAEAEA"/>
        <bgColor rgb="FFEAEAEA"/>
      </patternFill>
    </fill>
    <fill>
      <patternFill patternType="solid">
        <fgColor rgb="FFBFBFBF"/>
        <bgColor rgb="FFBFBFBF"/>
      </patternFill>
    </fill>
  </fills>
  <borders count="10">
    <border/>
    <border>
      <left/>
      <top/>
      <bottom style="thin">
        <color rgb="FF969696"/>
      </bottom>
    </border>
    <border>
      <right/>
      <top/>
      <bottom style="thin">
        <color rgb="FF969696"/>
      </bottom>
    </border>
    <border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</border>
    <border>
      <left style="thin">
        <color rgb="FF969696"/>
      </left>
      <right/>
      <top style="thin">
        <color rgb="FF000000"/>
      </top>
      <bottom style="double">
        <color rgb="FF000000"/>
      </bottom>
    </border>
    <border>
      <top style="thin">
        <color rgb="FF969696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4" numFmtId="164" xfId="0" applyAlignment="1" applyBorder="1" applyFill="1" applyFont="1" applyNumberFormat="1">
      <alignment horizontal="left" readingOrder="0" vertic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left" vertical="center"/>
    </xf>
    <xf borderId="3" fillId="0" fontId="5" numFmtId="0" xfId="0" applyBorder="1" applyFont="1"/>
    <xf borderId="3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4" fillId="0" fontId="6" numFmtId="165" xfId="0" applyAlignment="1" applyBorder="1" applyFont="1" applyNumberForma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0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horizontal="center" vertical="center"/>
    </xf>
    <xf borderId="5" fillId="4" fontId="8" numFmtId="20" xfId="0" applyAlignment="1" applyBorder="1" applyFill="1" applyFont="1" applyNumberFormat="1">
      <alignment horizontal="center" vertical="center"/>
    </xf>
    <xf borderId="5" fillId="5" fontId="8" numFmtId="20" xfId="0" applyAlignment="1" applyBorder="1" applyFill="1" applyFont="1" applyNumberFormat="1">
      <alignment horizontal="center" vertical="center"/>
    </xf>
    <xf borderId="5" fillId="6" fontId="8" numFmtId="2" xfId="0" applyAlignment="1" applyBorder="1" applyFill="1" applyFont="1" applyNumberFormat="1">
      <alignment horizontal="center" vertical="center"/>
    </xf>
    <xf borderId="5" fillId="4" fontId="8" numFmtId="2" xfId="0" applyAlignment="1" applyBorder="1" applyFont="1" applyNumberFormat="1">
      <alignment vertical="center"/>
    </xf>
    <xf borderId="6" fillId="5" fontId="8" numFmtId="2" xfId="0" applyAlignment="1" applyBorder="1" applyFont="1" applyNumberFormat="1">
      <alignment vertical="center"/>
    </xf>
    <xf borderId="5" fillId="7" fontId="8" numFmtId="2" xfId="0" applyAlignment="1" applyBorder="1" applyFill="1" applyFont="1" applyNumberFormat="1">
      <alignment horizontal="center" vertical="center"/>
    </xf>
    <xf borderId="5" fillId="3" fontId="4" numFmtId="166" xfId="0" applyAlignment="1" applyBorder="1" applyFont="1" applyNumberFormat="1">
      <alignment horizontal="left" vertical="center"/>
    </xf>
    <xf borderId="5" fillId="4" fontId="8" numFmtId="20" xfId="0" applyAlignment="1" applyBorder="1" applyFont="1" applyNumberFormat="1">
      <alignment horizontal="center" readingOrder="0" vertical="center"/>
    </xf>
    <xf borderId="5" fillId="5" fontId="8" numFmtId="20" xfId="0" applyAlignment="1" applyBorder="1" applyFont="1" applyNumberFormat="1">
      <alignment horizontal="center" readingOrder="0" vertical="center"/>
    </xf>
    <xf borderId="5" fillId="6" fontId="8" numFmtId="2" xfId="0" applyAlignment="1" applyBorder="1" applyFont="1" applyNumberFormat="1">
      <alignment horizontal="center" readingOrder="0" vertical="center"/>
    </xf>
    <xf borderId="5" fillId="3" fontId="4" numFmtId="0" xfId="0" applyAlignment="1" applyBorder="1" applyFont="1">
      <alignment horizontal="left" readingOrder="0" vertical="center"/>
    </xf>
    <xf borderId="5" fillId="3" fontId="4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7" fillId="3" fontId="4" numFmtId="0" xfId="0" applyAlignment="1" applyBorder="1" applyFont="1">
      <alignment horizontal="left" vertical="center"/>
    </xf>
    <xf borderId="7" fillId="7" fontId="10" numFmtId="2" xfId="0" applyAlignment="1" applyBorder="1" applyFont="1" applyNumberFormat="1">
      <alignment horizontal="center" vertical="center"/>
    </xf>
    <xf borderId="7" fillId="4" fontId="10" numFmtId="2" xfId="0" applyAlignment="1" applyBorder="1" applyFont="1" applyNumberFormat="1">
      <alignment vertical="center"/>
    </xf>
    <xf borderId="8" fillId="5" fontId="10" numFmtId="2" xfId="0" applyAlignment="1" applyBorder="1" applyFont="1" applyNumberFormat="1">
      <alignment vertical="center"/>
    </xf>
    <xf borderId="7" fillId="4" fontId="4" numFmtId="2" xfId="0" applyAlignment="1" applyBorder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3" fillId="0" fontId="1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9" fillId="0" fontId="3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02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45</xdr:row>
      <xdr:rowOff>104775</xdr:rowOff>
    </xdr:from>
    <xdr:ext cx="1428750" cy="3429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mesheets@ajac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3.13"/>
    <col customWidth="1" min="2" max="2" width="11.0"/>
    <col customWidth="1" min="3" max="3" width="13.75"/>
    <col customWidth="1" min="4" max="5" width="12.25"/>
    <col customWidth="1" min="6" max="6" width="8.13"/>
    <col customWidth="1" min="7" max="7" width="8.25"/>
    <col customWidth="1" min="8" max="8" width="12.25"/>
    <col customWidth="1" min="9" max="9" width="14.25"/>
    <col customWidth="1" min="10" max="10" width="11.75"/>
    <col customWidth="1" min="11" max="11" width="12.25"/>
    <col customWidth="1" min="12" max="26" width="9.13"/>
  </cols>
  <sheetData>
    <row r="1" ht="34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1</v>
      </c>
      <c r="F3" s="1"/>
      <c r="G3" s="1"/>
      <c r="H3" s="1"/>
      <c r="I3" s="5" t="s">
        <v>2</v>
      </c>
      <c r="J3" s="6">
        <v>46143.0</v>
      </c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F4" s="1"/>
      <c r="G4" s="1"/>
      <c r="H4" s="1"/>
      <c r="I4" s="5" t="s">
        <v>4</v>
      </c>
      <c r="J4" s="8">
        <f>EOMONTH(J3,0)</f>
        <v>46173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5</v>
      </c>
      <c r="F5" s="1"/>
      <c r="G5" s="1"/>
      <c r="H5" s="1"/>
      <c r="I5" s="4"/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 t="s">
        <v>6</v>
      </c>
      <c r="C6" s="5" t="s">
        <v>7</v>
      </c>
      <c r="D6" s="11"/>
      <c r="E6" s="11"/>
      <c r="F6" s="1"/>
      <c r="G6" s="1"/>
      <c r="H6" s="1"/>
      <c r="I6" s="4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5"/>
      <c r="D7" s="11"/>
      <c r="F7" s="1"/>
      <c r="G7" s="1"/>
      <c r="H7" s="1"/>
      <c r="I7" s="4"/>
      <c r="J7" s="13" t="s">
        <v>8</v>
      </c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5" t="s">
        <v>9</v>
      </c>
      <c r="C9" s="15" t="s">
        <v>10</v>
      </c>
      <c r="D9" s="15" t="s">
        <v>11</v>
      </c>
      <c r="E9" s="15" t="s">
        <v>12</v>
      </c>
      <c r="F9" s="15"/>
      <c r="G9" s="15"/>
      <c r="H9" s="16" t="s">
        <v>13</v>
      </c>
      <c r="I9" s="15" t="s">
        <v>14</v>
      </c>
      <c r="J9" s="15" t="s">
        <v>15</v>
      </c>
      <c r="K9" s="15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7"/>
      <c r="C10" s="18"/>
      <c r="D10" s="19"/>
      <c r="E10" s="20"/>
      <c r="F10" s="19"/>
      <c r="G10" s="20"/>
      <c r="H10" s="21"/>
      <c r="I10" s="22"/>
      <c r="J10" s="23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25" t="str">
        <f t="shared" ref="B11:B40" si="1">TEXT(C11,"ddd")</f>
        <v>Fri</v>
      </c>
      <c r="C11" s="18">
        <f>J3</f>
        <v>46143</v>
      </c>
      <c r="D11" s="19">
        <v>0.0</v>
      </c>
      <c r="E11" s="19">
        <v>0.0</v>
      </c>
      <c r="F11" s="26"/>
      <c r="G11" s="27"/>
      <c r="H11" s="19">
        <v>0.0</v>
      </c>
      <c r="I11" s="22"/>
      <c r="J11" s="23"/>
      <c r="K11" s="24">
        <f t="shared" ref="K11:K41" si="2">H11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25" t="str">
        <f t="shared" si="1"/>
        <v>Sat</v>
      </c>
      <c r="C12" s="18">
        <f t="shared" ref="C12:C40" si="3">C11+1</f>
        <v>46144</v>
      </c>
      <c r="D12" s="19">
        <v>0.0</v>
      </c>
      <c r="E12" s="19">
        <v>0.0</v>
      </c>
      <c r="F12" s="19"/>
      <c r="G12" s="20"/>
      <c r="H12" s="19">
        <v>0.0</v>
      </c>
      <c r="I12" s="22"/>
      <c r="J12" s="23"/>
      <c r="K12" s="24">
        <f t="shared" si="2"/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25" t="str">
        <f t="shared" si="1"/>
        <v>Sun</v>
      </c>
      <c r="C13" s="18">
        <f t="shared" si="3"/>
        <v>46145</v>
      </c>
      <c r="D13" s="19">
        <v>0.0</v>
      </c>
      <c r="E13" s="19">
        <v>0.0</v>
      </c>
      <c r="F13" s="19"/>
      <c r="G13" s="20"/>
      <c r="H13" s="19">
        <v>0.0</v>
      </c>
      <c r="I13" s="22"/>
      <c r="J13" s="23"/>
      <c r="K13" s="24">
        <f t="shared" si="2"/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25" t="str">
        <f t="shared" si="1"/>
        <v>Mon</v>
      </c>
      <c r="C14" s="18">
        <f t="shared" si="3"/>
        <v>46146</v>
      </c>
      <c r="D14" s="26">
        <v>0.4166666666666667</v>
      </c>
      <c r="E14" s="26">
        <v>0.5833333333333334</v>
      </c>
      <c r="F14" s="19"/>
      <c r="G14" s="20"/>
      <c r="H14" s="28">
        <v>4.0</v>
      </c>
      <c r="I14" s="22"/>
      <c r="J14" s="23"/>
      <c r="K14" s="24">
        <f t="shared" si="2"/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5" t="str">
        <f t="shared" si="1"/>
        <v>Tue</v>
      </c>
      <c r="C15" s="18">
        <f t="shared" si="3"/>
        <v>46147</v>
      </c>
      <c r="D15" s="26">
        <v>0.4166666666666667</v>
      </c>
      <c r="E15" s="26">
        <v>0.5833333333333334</v>
      </c>
      <c r="F15" s="19"/>
      <c r="G15" s="20"/>
      <c r="H15" s="28">
        <v>4.0</v>
      </c>
      <c r="I15" s="22"/>
      <c r="J15" s="23"/>
      <c r="K15" s="24">
        <f t="shared" si="2"/>
        <v>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25" t="str">
        <f t="shared" si="1"/>
        <v>Wed</v>
      </c>
      <c r="C16" s="18">
        <f t="shared" si="3"/>
        <v>46148</v>
      </c>
      <c r="D16" s="26">
        <v>0.4166666666666667</v>
      </c>
      <c r="E16" s="26">
        <v>0.5833333333333334</v>
      </c>
      <c r="F16" s="19"/>
      <c r="G16" s="20"/>
      <c r="H16" s="28">
        <v>4.0</v>
      </c>
      <c r="I16" s="22"/>
      <c r="J16" s="23"/>
      <c r="K16" s="24">
        <f t="shared" si="2"/>
        <v>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25" t="str">
        <f t="shared" si="1"/>
        <v>Thu</v>
      </c>
      <c r="C17" s="18">
        <f t="shared" si="3"/>
        <v>46149</v>
      </c>
      <c r="D17" s="26">
        <v>0.4166666666666667</v>
      </c>
      <c r="E17" s="26">
        <v>0.5833333333333334</v>
      </c>
      <c r="F17" s="19"/>
      <c r="G17" s="20"/>
      <c r="H17" s="28">
        <v>4.0</v>
      </c>
      <c r="I17" s="22"/>
      <c r="J17" s="23"/>
      <c r="K17" s="24">
        <f t="shared" si="2"/>
        <v>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25" t="str">
        <f t="shared" si="1"/>
        <v>Fri</v>
      </c>
      <c r="C18" s="18">
        <f t="shared" si="3"/>
        <v>46150</v>
      </c>
      <c r="D18" s="26">
        <v>0.4166666666666667</v>
      </c>
      <c r="E18" s="26">
        <v>0.5833333333333334</v>
      </c>
      <c r="F18" s="19"/>
      <c r="G18" s="20"/>
      <c r="H18" s="28">
        <v>4.0</v>
      </c>
      <c r="I18" s="22"/>
      <c r="J18" s="23"/>
      <c r="K18" s="24">
        <f t="shared" si="2"/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25" t="str">
        <f t="shared" si="1"/>
        <v>Sat</v>
      </c>
      <c r="C19" s="18">
        <f t="shared" si="3"/>
        <v>46151</v>
      </c>
      <c r="D19" s="19">
        <v>0.0</v>
      </c>
      <c r="E19" s="19">
        <v>0.0</v>
      </c>
      <c r="F19" s="19"/>
      <c r="G19" s="20"/>
      <c r="H19" s="19">
        <v>0.0</v>
      </c>
      <c r="I19" s="22"/>
      <c r="J19" s="23"/>
      <c r="K19" s="24">
        <f t="shared" si="2"/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25" t="str">
        <f t="shared" si="1"/>
        <v>Sun</v>
      </c>
      <c r="C20" s="18">
        <f t="shared" si="3"/>
        <v>46152</v>
      </c>
      <c r="D20" s="19">
        <v>0.0</v>
      </c>
      <c r="E20" s="19">
        <v>0.0</v>
      </c>
      <c r="F20" s="19"/>
      <c r="G20" s="20"/>
      <c r="H20" s="19">
        <v>0.0</v>
      </c>
      <c r="I20" s="22"/>
      <c r="J20" s="23"/>
      <c r="K20" s="24">
        <f t="shared" si="2"/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25" t="str">
        <f t="shared" si="1"/>
        <v>Mon</v>
      </c>
      <c r="C21" s="18">
        <f t="shared" si="3"/>
        <v>46153</v>
      </c>
      <c r="D21" s="26">
        <v>0.4583333333333333</v>
      </c>
      <c r="E21" s="26">
        <v>0.625</v>
      </c>
      <c r="F21" s="19"/>
      <c r="G21" s="20"/>
      <c r="H21" s="28">
        <v>4.0</v>
      </c>
      <c r="I21" s="22"/>
      <c r="J21" s="23"/>
      <c r="K21" s="24">
        <f t="shared" si="2"/>
        <v>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25" t="str">
        <f t="shared" si="1"/>
        <v>Tue</v>
      </c>
      <c r="C22" s="18">
        <f t="shared" si="3"/>
        <v>46154</v>
      </c>
      <c r="D22" s="26">
        <v>0.4583333333333333</v>
      </c>
      <c r="E22" s="26">
        <v>0.625</v>
      </c>
      <c r="F22" s="19"/>
      <c r="G22" s="20"/>
      <c r="H22" s="28">
        <v>4.0</v>
      </c>
      <c r="I22" s="22"/>
      <c r="J22" s="23"/>
      <c r="K22" s="24">
        <f t="shared" si="2"/>
        <v>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25" t="str">
        <f t="shared" si="1"/>
        <v>Wed</v>
      </c>
      <c r="C23" s="18">
        <f t="shared" si="3"/>
        <v>46155</v>
      </c>
      <c r="D23" s="26">
        <v>0.4583333333333333</v>
      </c>
      <c r="E23" s="26">
        <v>0.625</v>
      </c>
      <c r="F23" s="19"/>
      <c r="G23" s="20"/>
      <c r="H23" s="28">
        <v>4.0</v>
      </c>
      <c r="I23" s="22"/>
      <c r="J23" s="23"/>
      <c r="K23" s="24">
        <f t="shared" si="2"/>
        <v>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25" t="str">
        <f t="shared" si="1"/>
        <v>Thu</v>
      </c>
      <c r="C24" s="18">
        <f t="shared" si="3"/>
        <v>46156</v>
      </c>
      <c r="D24" s="26">
        <v>0.4583333333333333</v>
      </c>
      <c r="E24" s="26">
        <v>0.625</v>
      </c>
      <c r="F24" s="19"/>
      <c r="G24" s="20"/>
      <c r="H24" s="28">
        <v>4.0</v>
      </c>
      <c r="I24" s="22"/>
      <c r="J24" s="23"/>
      <c r="K24" s="24">
        <f t="shared" si="2"/>
        <v>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25" t="str">
        <f t="shared" si="1"/>
        <v>Fri</v>
      </c>
      <c r="C25" s="18">
        <f t="shared" si="3"/>
        <v>46157</v>
      </c>
      <c r="D25" s="26">
        <v>0.4583333333333333</v>
      </c>
      <c r="E25" s="26">
        <v>0.625</v>
      </c>
      <c r="F25" s="19"/>
      <c r="G25" s="20"/>
      <c r="H25" s="28">
        <v>4.0</v>
      </c>
      <c r="I25" s="22"/>
      <c r="J25" s="23"/>
      <c r="K25" s="24">
        <f t="shared" si="2"/>
        <v>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/>
      <c r="B26" s="25" t="str">
        <f t="shared" si="1"/>
        <v>Sat</v>
      </c>
      <c r="C26" s="18">
        <f t="shared" si="3"/>
        <v>46158</v>
      </c>
      <c r="D26" s="19">
        <v>0.0</v>
      </c>
      <c r="E26" s="19">
        <v>0.0</v>
      </c>
      <c r="F26" s="19"/>
      <c r="G26" s="20"/>
      <c r="H26" s="19">
        <v>0.0</v>
      </c>
      <c r="I26" s="22"/>
      <c r="J26" s="23"/>
      <c r="K26" s="24">
        <f t="shared" si="2"/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25" t="str">
        <f t="shared" si="1"/>
        <v>Sun</v>
      </c>
      <c r="C27" s="18">
        <f t="shared" si="3"/>
        <v>46159</v>
      </c>
      <c r="D27" s="19">
        <v>0.0</v>
      </c>
      <c r="E27" s="19">
        <v>0.0</v>
      </c>
      <c r="F27" s="19"/>
      <c r="G27" s="20"/>
      <c r="H27" s="19">
        <v>0.0</v>
      </c>
      <c r="I27" s="22"/>
      <c r="J27" s="23"/>
      <c r="K27" s="24">
        <f t="shared" si="2"/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25" t="str">
        <f t="shared" si="1"/>
        <v>Mon</v>
      </c>
      <c r="C28" s="18">
        <f t="shared" si="3"/>
        <v>46160</v>
      </c>
      <c r="D28" s="26">
        <v>0.4583333333333333</v>
      </c>
      <c r="E28" s="26">
        <v>0.625</v>
      </c>
      <c r="F28" s="19"/>
      <c r="G28" s="20"/>
      <c r="H28" s="28">
        <v>4.0</v>
      </c>
      <c r="I28" s="22"/>
      <c r="J28" s="23"/>
      <c r="K28" s="24">
        <f t="shared" si="2"/>
        <v>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25" t="str">
        <f t="shared" si="1"/>
        <v>Tue</v>
      </c>
      <c r="C29" s="18">
        <f t="shared" si="3"/>
        <v>46161</v>
      </c>
      <c r="D29" s="26">
        <v>0.4583333333333333</v>
      </c>
      <c r="E29" s="26">
        <v>0.625</v>
      </c>
      <c r="F29" s="19"/>
      <c r="G29" s="20"/>
      <c r="H29" s="28">
        <v>4.0</v>
      </c>
      <c r="I29" s="22"/>
      <c r="J29" s="23"/>
      <c r="K29" s="24">
        <f t="shared" si="2"/>
        <v>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/>
      <c r="B30" s="25" t="str">
        <f t="shared" si="1"/>
        <v>Wed</v>
      </c>
      <c r="C30" s="18">
        <f t="shared" si="3"/>
        <v>46162</v>
      </c>
      <c r="D30" s="26">
        <v>0.4583333333333333</v>
      </c>
      <c r="E30" s="26">
        <v>0.625</v>
      </c>
      <c r="F30" s="19"/>
      <c r="G30" s="20"/>
      <c r="H30" s="28">
        <v>4.0</v>
      </c>
      <c r="I30" s="22"/>
      <c r="J30" s="23"/>
      <c r="K30" s="24">
        <f t="shared" si="2"/>
        <v>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25" t="str">
        <f t="shared" si="1"/>
        <v>Thu</v>
      </c>
      <c r="C31" s="18">
        <f t="shared" si="3"/>
        <v>46163</v>
      </c>
      <c r="D31" s="26">
        <v>0.4583333333333333</v>
      </c>
      <c r="E31" s="26">
        <v>0.625</v>
      </c>
      <c r="F31" s="19"/>
      <c r="G31" s="20"/>
      <c r="H31" s="28">
        <v>4.0</v>
      </c>
      <c r="I31" s="22"/>
      <c r="J31" s="23"/>
      <c r="K31" s="24">
        <f t="shared" si="2"/>
        <v>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25" t="str">
        <f t="shared" si="1"/>
        <v>Fri</v>
      </c>
      <c r="C32" s="18">
        <f t="shared" si="3"/>
        <v>46164</v>
      </c>
      <c r="D32" s="26">
        <v>0.4583333333333333</v>
      </c>
      <c r="E32" s="26">
        <v>0.625</v>
      </c>
      <c r="F32" s="19"/>
      <c r="G32" s="20"/>
      <c r="H32" s="28">
        <v>4.0</v>
      </c>
      <c r="I32" s="22"/>
      <c r="J32" s="23"/>
      <c r="K32" s="24">
        <f t="shared" si="2"/>
        <v>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25" t="str">
        <f t="shared" si="1"/>
        <v>Sat</v>
      </c>
      <c r="C33" s="18">
        <f t="shared" si="3"/>
        <v>46165</v>
      </c>
      <c r="D33" s="19">
        <v>0.0</v>
      </c>
      <c r="E33" s="19">
        <v>0.0</v>
      </c>
      <c r="F33" s="19"/>
      <c r="G33" s="20"/>
      <c r="H33" s="19">
        <v>0.0</v>
      </c>
      <c r="I33" s="22"/>
      <c r="J33" s="23"/>
      <c r="K33" s="24">
        <f t="shared" si="2"/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25" t="str">
        <f t="shared" si="1"/>
        <v>Sun</v>
      </c>
      <c r="C34" s="18">
        <f t="shared" si="3"/>
        <v>46166</v>
      </c>
      <c r="D34" s="19">
        <v>0.0</v>
      </c>
      <c r="E34" s="19">
        <v>0.0</v>
      </c>
      <c r="F34" s="19"/>
      <c r="G34" s="20"/>
      <c r="H34" s="19">
        <v>0.0</v>
      </c>
      <c r="I34" s="22"/>
      <c r="J34" s="23"/>
      <c r="K34" s="24">
        <f t="shared" si="2"/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5" t="str">
        <f t="shared" si="1"/>
        <v>Mon</v>
      </c>
      <c r="C35" s="18">
        <f t="shared" si="3"/>
        <v>46167</v>
      </c>
      <c r="D35" s="26">
        <v>0.4583333333333333</v>
      </c>
      <c r="E35" s="26">
        <v>0.625</v>
      </c>
      <c r="F35" s="19"/>
      <c r="G35" s="20"/>
      <c r="H35" s="28">
        <v>4.0</v>
      </c>
      <c r="I35" s="22"/>
      <c r="J35" s="23"/>
      <c r="K35" s="24">
        <f t="shared" si="2"/>
        <v>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25" t="str">
        <f t="shared" si="1"/>
        <v>Tue</v>
      </c>
      <c r="C36" s="18">
        <f t="shared" si="3"/>
        <v>46168</v>
      </c>
      <c r="D36" s="26">
        <v>0.4583333333333333</v>
      </c>
      <c r="E36" s="26">
        <v>0.625</v>
      </c>
      <c r="F36" s="19"/>
      <c r="G36" s="20"/>
      <c r="H36" s="28">
        <v>4.0</v>
      </c>
      <c r="I36" s="22"/>
      <c r="J36" s="23"/>
      <c r="K36" s="24">
        <f t="shared" si="2"/>
        <v>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25" t="str">
        <f t="shared" si="1"/>
        <v>Wed</v>
      </c>
      <c r="C37" s="18">
        <f t="shared" si="3"/>
        <v>46169</v>
      </c>
      <c r="D37" s="26">
        <v>0.4583333333333333</v>
      </c>
      <c r="E37" s="26">
        <v>0.625</v>
      </c>
      <c r="F37" s="19"/>
      <c r="G37" s="20"/>
      <c r="H37" s="28">
        <v>4.0</v>
      </c>
      <c r="I37" s="22"/>
      <c r="J37" s="23"/>
      <c r="K37" s="24">
        <f t="shared" si="2"/>
        <v>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25" t="str">
        <f t="shared" si="1"/>
        <v>Thu</v>
      </c>
      <c r="C38" s="18">
        <f t="shared" si="3"/>
        <v>46170</v>
      </c>
      <c r="D38" s="26">
        <v>0.4583333333333333</v>
      </c>
      <c r="E38" s="26">
        <v>0.625</v>
      </c>
      <c r="F38" s="19"/>
      <c r="G38" s="20"/>
      <c r="H38" s="28">
        <v>4.0</v>
      </c>
      <c r="I38" s="22"/>
      <c r="J38" s="23"/>
      <c r="K38" s="24">
        <f t="shared" si="2"/>
        <v>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25" t="str">
        <f t="shared" si="1"/>
        <v>Fri</v>
      </c>
      <c r="C39" s="18">
        <f t="shared" si="3"/>
        <v>46171</v>
      </c>
      <c r="D39" s="26">
        <v>0.4583333333333333</v>
      </c>
      <c r="E39" s="26">
        <v>0.625</v>
      </c>
      <c r="F39" s="19"/>
      <c r="G39" s="20"/>
      <c r="H39" s="28">
        <v>4.0</v>
      </c>
      <c r="I39" s="22"/>
      <c r="J39" s="23"/>
      <c r="K39" s="24">
        <f t="shared" si="2"/>
        <v>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25" t="str">
        <f t="shared" si="1"/>
        <v>Sat</v>
      </c>
      <c r="C40" s="18">
        <f t="shared" si="3"/>
        <v>46172</v>
      </c>
      <c r="D40" s="19">
        <v>0.0</v>
      </c>
      <c r="E40" s="19">
        <v>0.0</v>
      </c>
      <c r="F40" s="19"/>
      <c r="G40" s="20"/>
      <c r="H40" s="19">
        <v>0.0</v>
      </c>
      <c r="I40" s="22"/>
      <c r="J40" s="23"/>
      <c r="K40" s="24">
        <f t="shared" si="2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29" t="s">
        <v>17</v>
      </c>
      <c r="C41" s="30">
        <v>46022.0</v>
      </c>
      <c r="D41" s="19">
        <v>0.0</v>
      </c>
      <c r="E41" s="19">
        <v>0.0</v>
      </c>
      <c r="F41" s="19"/>
      <c r="G41" s="20"/>
      <c r="H41" s="19">
        <v>0.0</v>
      </c>
      <c r="I41" s="22"/>
      <c r="J41" s="23"/>
      <c r="K41" s="24">
        <f t="shared" si="2"/>
        <v>0</v>
      </c>
      <c r="L41" s="3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2"/>
      <c r="D42" s="1"/>
      <c r="E42" s="1"/>
      <c r="F42" s="1"/>
      <c r="G42" s="32" t="s">
        <v>16</v>
      </c>
      <c r="H42" s="33"/>
      <c r="I42" s="34"/>
      <c r="J42" s="35"/>
      <c r="K42" s="36">
        <f>SUM(K11:K41)</f>
        <v>80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37"/>
      <c r="C45" s="38"/>
      <c r="D45" s="37"/>
      <c r="E45" s="37"/>
      <c r="F45" s="37"/>
      <c r="G45" s="39" t="s">
        <v>18</v>
      </c>
      <c r="H45" s="9"/>
      <c r="I45" s="9"/>
      <c r="J45" s="40"/>
      <c r="K45" s="41">
        <v>46174.0</v>
      </c>
      <c r="L45" s="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2"/>
      <c r="D46" s="1"/>
      <c r="E46" s="1"/>
      <c r="F46" s="1"/>
      <c r="G46" s="43" t="s">
        <v>19</v>
      </c>
      <c r="H46" s="44"/>
      <c r="I46" s="1"/>
      <c r="J46" s="1"/>
      <c r="K46" s="45" t="s">
        <v>10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2"/>
      <c r="D47" s="1"/>
      <c r="E47" s="1"/>
      <c r="F47" s="1"/>
      <c r="G47" s="46" t="s">
        <v>20</v>
      </c>
      <c r="H47" s="9"/>
      <c r="I47" s="9"/>
      <c r="J47" s="40"/>
      <c r="K47" s="41">
        <v>46174.0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2"/>
      <c r="D48" s="1"/>
      <c r="E48" s="1"/>
      <c r="F48" s="1"/>
      <c r="G48" s="43" t="s">
        <v>21</v>
      </c>
      <c r="H48" s="44"/>
      <c r="I48" s="1"/>
      <c r="J48" s="1"/>
      <c r="K48" s="45" t="s">
        <v>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7:K7"/>
    <mergeCell ref="G45:I45"/>
    <mergeCell ref="G47:I47"/>
    <mergeCell ref="B3:E3"/>
    <mergeCell ref="J3:K3"/>
    <mergeCell ref="B4:E4"/>
    <mergeCell ref="J4:K4"/>
    <mergeCell ref="B5:E5"/>
    <mergeCell ref="J5:K5"/>
    <mergeCell ref="D7:E7"/>
  </mergeCells>
  <conditionalFormatting sqref="B1:B1000">
    <cfRule type="containsText" dxfId="0" priority="1" stopIfTrue="1" operator="containsText" text="Sat">
      <formula>NOT(ISERROR(SEARCH(("Sat"),(B1))))</formula>
    </cfRule>
  </conditionalFormatting>
  <conditionalFormatting sqref="B10:B41">
    <cfRule type="containsText" dxfId="0" priority="2" stopIfTrue="1" operator="containsText" text="Sun">
      <formula>NOT(ISERROR(SEARCH(("Sun"),(B10))))</formula>
    </cfRule>
  </conditionalFormatting>
  <conditionalFormatting sqref="J9">
    <cfRule type="containsText" dxfId="0" priority="3" stopIfTrue="1" operator="containsText" text="Sat">
      <formula>NOT(ISERROR(SEARCH(("Sat"),(J9))))</formula>
    </cfRule>
  </conditionalFormatting>
  <dataValidations>
    <dataValidation type="custom" allowBlank="1" showInputMessage="1" showErrorMessage="1" prompt="Invalid Entry - Please enter time in military time format between 0:00 and 23:59 (1:00, 8:00, 13:00, 20:00, etc.)." sqref="D10:G10 D11:H13 D14:G18 D19:H20 D21:G25 D26:H27 D28:G32 D33:H34 D35:G39 D40:H41">
      <formula1>AND(GTE(D10,MIN((0),(0.999305555555556))),LTE(D10,MAX((0),(0.999305555555556))))</formula1>
    </dataValidation>
  </dataValidations>
  <hyperlinks>
    <hyperlink r:id="rId1" ref="J7"/>
  </hyperlinks>
  <printOptions/>
  <pageMargins bottom="0.0" footer="0.0" header="0.0" left="0.5" right="0.5" top="0.75"/>
  <pageSetup orientation="portrait"/>
  <drawing r:id="rId2"/>
</worksheet>
</file>