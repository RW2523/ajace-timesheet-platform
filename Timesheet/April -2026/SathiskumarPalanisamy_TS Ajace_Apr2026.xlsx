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athiskumar\Personal\H1-Transfer\TimeSheet\"/>
    </mc:Choice>
  </mc:AlternateContent>
  <xr:revisionPtr revIDLastSave="0" documentId="13_ncr:1_{6DAB578F-568A-47CB-9D8B-F13A0A19DD4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ime She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4DQ8+x5WEZpd7gm06pEU/28m8v9NvdAgkPE7E8k4Mg="/>
    </ext>
  </extLst>
</workbook>
</file>

<file path=xl/calcChain.xml><?xml version="1.0" encoding="utf-8"?>
<calcChain xmlns="http://schemas.openxmlformats.org/spreadsheetml/2006/main">
  <c r="F42" i="1" l="1"/>
  <c r="G4" i="1" l="1"/>
  <c r="C11" i="1"/>
  <c r="B11" i="1" s="1"/>
  <c r="C12" i="1" l="1"/>
  <c r="B12" i="1" s="1"/>
  <c r="C13" i="1" l="1"/>
  <c r="B13" i="1" s="1"/>
  <c r="C14" i="1" l="1"/>
  <c r="C15" i="1" s="1"/>
  <c r="B14" i="1" l="1"/>
  <c r="C16" i="1"/>
  <c r="B15" i="1"/>
  <c r="B16" i="1" l="1"/>
  <c r="C17" i="1"/>
  <c r="B17" i="1" l="1"/>
  <c r="C18" i="1"/>
  <c r="C19" i="1" l="1"/>
  <c r="B18" i="1"/>
  <c r="C20" i="1" l="1"/>
  <c r="B19" i="1"/>
  <c r="B20" i="1" l="1"/>
  <c r="C21" i="1"/>
  <c r="C22" i="1" s="1"/>
  <c r="B22" i="1" l="1"/>
  <c r="C23" i="1"/>
  <c r="B21" i="1"/>
  <c r="B23" i="1" l="1"/>
  <c r="C24" i="1"/>
  <c r="B24" i="1" l="1"/>
  <c r="C25" i="1"/>
  <c r="C26" i="1" l="1"/>
  <c r="B25" i="1"/>
  <c r="B26" i="1" l="1"/>
  <c r="C27" i="1"/>
  <c r="B27" i="1" l="1"/>
  <c r="C28" i="1"/>
  <c r="C29" i="1" l="1"/>
  <c r="B28" i="1"/>
  <c r="B29" i="1" l="1"/>
  <c r="C30" i="1"/>
  <c r="B30" i="1" l="1"/>
  <c r="C31" i="1"/>
  <c r="B31" i="1" l="1"/>
  <c r="C32" i="1"/>
  <c r="C33" i="1" l="1"/>
  <c r="B32" i="1"/>
  <c r="C34" i="1" l="1"/>
  <c r="B33" i="1"/>
  <c r="C35" i="1" l="1"/>
  <c r="B34" i="1"/>
  <c r="C36" i="1" l="1"/>
  <c r="B35" i="1"/>
  <c r="B36" i="1" l="1"/>
  <c r="C37" i="1"/>
  <c r="B37" i="1" l="1"/>
  <c r="C38" i="1"/>
  <c r="C39" i="1" s="1"/>
  <c r="C40" i="1" l="1"/>
  <c r="B39" i="1"/>
  <c r="B38" i="1"/>
  <c r="B40" i="1" l="1"/>
</calcChain>
</file>

<file path=xl/sharedStrings.xml><?xml version="1.0" encoding="utf-8"?>
<sst xmlns="http://schemas.openxmlformats.org/spreadsheetml/2006/main" count="18" uniqueCount="18">
  <si>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</si>
  <si>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</si>
  <si>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</si>
  <si>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</si>
  <si>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</si>
  <si>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</si>
  <si>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</si>
  <si>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</si>
  <si>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</si>
  <si>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</si>
  <si>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</si>
  <si>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</si>
  <si>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</si>
  <si>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Name</t>
  </si>
  <si>
    <t>Sathiskumar Palanisamy</t>
  </si>
  <si>
    <t>Client Name</t>
  </si>
  <si>
    <t>BASF Corporation, 11501 Steele Creek Rd, Charlotte, NC 28273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</si>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</sst>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[&lt;=9999999]###\-####;\(###&quot;) &quot;###\-####"/>
    <numFmt numFmtId="166" formatCode="dddd"/>
  </numFmts>
  <fonts count="13" x14ac:knownFonts="1">
    <font>
      <sz val="10"/>
      <color rgb="FF000000"/>
      <name val="Arial"/>
      <scheme val="minor"/>
    </font>
    <font>
      <sz val="10"/>
      <color theme="1"/>
      <name val="Century Gothic"/>
      <family val="2"/>
    </font>
    <font>
      <b/>
      <sz val="22"/>
      <color rgb="FFBCBCBC"/>
      <name val="Century Gothic"/>
      <family val="2"/>
    </font>
    <font>
      <sz val="9"/>
      <color rgb="FF969696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rgb="FF6896CE"/>
      <name val="Arial"/>
      <family val="2"/>
    </font>
    <font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center" vertical="center"/>
    </xf>
    <xf numFmtId="20" fontId="7" fillId="4" borderId="3" xfId="0" applyNumberFormat="1" applyFont="1" applyFill="1" applyBorder="1" applyAlignment="1">
      <alignment horizontal="center" vertical="center"/>
    </xf>
    <xf numFmtId="20" fontId="7" fillId="5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2" fontId="10" fillId="4" borderId="4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164" fontId="4" fillId="2" borderId="1" xfId="0" applyNumberFormat="1" applyFont="1" applyFill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022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imesheets@aja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69696"/>
    <pageSetUpPr fitToPage="1"/>
  </sheetPr>
  <dimension ref="A1:Y43"/>
  <sheetViews>
    <sheetView showGridLines="0" tabSelected="1" workbookViewId="0">
      <pane ySplit="9" topLeftCell="A25" activePane="bottomLeft" state="frozen"/>
      <selection pane="bottomLeft" activeCell="F42" sqref="F42"/>
    </sheetView>
  </sheetViews>
  <sheetFormatPr defaultColWidth="12.5546875" defaultRowHeight="15" customHeight="1" x14ac:dyDescent="0.25"/>
  <cols>
    <col min="1" max="1" width="3.33203125" customWidth="1"/>
    <col min="2" max="2" width="17.33203125" customWidth="1"/>
    <col min="3" max="3" width="19.6640625" customWidth="1"/>
    <col min="4" max="5" width="12.44140625" customWidth="1"/>
    <col min="6" max="6" width="16.88671875" customWidth="1"/>
    <col min="7" max="8" width="14.44140625" customWidth="1"/>
    <col min="9" max="9" width="11.5546875" customWidth="1"/>
    <col min="10" max="10" width="12.44140625" customWidth="1"/>
    <col min="11" max="25" width="9.109375" customWidth="1"/>
  </cols>
  <sheetData>
    <row r="1" spans="1:25" ht="34.5" customHeight="1" x14ac:dyDescent="0.25">
      <c r="A1" s="1"/>
      <c r="B1" s="1"/>
      <c r="C1" s="2"/>
      <c r="D1" s="1"/>
      <c r="E1" s="1"/>
      <c r="F1" s="1"/>
      <c r="G1" s="1"/>
      <c r="H1" s="3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5" ht="24" customHeight="1" x14ac:dyDescent="0.25">
      <c r="A2" s="1"/>
      <c r="B2" s="1"/>
      <c r="C2" s="2"/>
      <c r="D2" s="1"/>
      <c r="E2" s="1"/>
      <c r="F2" s="5" t="s">
        <v>13</v>
      </c>
      <c r="G2" s="15" t="s">
        <v>14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5" ht="16.5" customHeight="1" x14ac:dyDescent="0.25">
      <c r="A3" s="1"/>
      <c r="B3" s="21" t="s">
        <v>1</v>
      </c>
      <c r="C3" s="22"/>
      <c r="D3" s="22"/>
      <c r="E3" s="22"/>
      <c r="F3" s="5" t="s">
        <v>2</v>
      </c>
      <c r="G3" s="23">
        <v>46113</v>
      </c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5" ht="16.5" customHeight="1" x14ac:dyDescent="0.25">
      <c r="A4" s="1"/>
      <c r="B4" s="21" t="s">
        <v>3</v>
      </c>
      <c r="C4" s="22"/>
      <c r="D4" s="22"/>
      <c r="E4" s="22"/>
      <c r="F4" s="5" t="s">
        <v>4</v>
      </c>
      <c r="G4" s="24">
        <f>EOMONTH(G3,0)</f>
        <v>46142</v>
      </c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5" ht="35.25" customHeight="1" x14ac:dyDescent="0.25">
      <c r="A5" s="1"/>
      <c r="B5" s="21" t="s">
        <v>5</v>
      </c>
      <c r="C5" s="22"/>
      <c r="D5" s="22"/>
      <c r="E5" s="22"/>
      <c r="F5" s="5" t="s">
        <v>15</v>
      </c>
      <c r="G5" s="25" t="s">
        <v>16</v>
      </c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5" ht="16.5" customHeight="1" x14ac:dyDescent="0.25">
      <c r="A6" s="1"/>
      <c r="B6" s="4" t="s">
        <v>6</v>
      </c>
      <c r="C6" s="5" t="s">
        <v>7</v>
      </c>
      <c r="D6" s="6"/>
      <c r="E6" s="6"/>
      <c r="F6" s="1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5" ht="16.5" customHeight="1" x14ac:dyDescent="0.25">
      <c r="A7" s="1"/>
      <c r="B7" s="4"/>
      <c r="C7" s="5"/>
      <c r="D7" s="26"/>
      <c r="E7" s="22"/>
      <c r="F7" s="1"/>
      <c r="G7" s="20" t="s">
        <v>8</v>
      </c>
      <c r="H7" s="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5" ht="13.5" customHeight="1" x14ac:dyDescent="0.2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25">
      <c r="A9" s="1"/>
      <c r="B9" s="8" t="s">
        <v>9</v>
      </c>
      <c r="C9" s="8" t="s">
        <v>10</v>
      </c>
      <c r="D9" s="8" t="s">
        <v>11</v>
      </c>
      <c r="E9" s="8" t="s">
        <v>12</v>
      </c>
      <c r="F9" s="17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5" ht="21" customHeight="1" x14ac:dyDescent="0.25">
      <c r="A10" s="1"/>
      <c r="B10" s="9"/>
      <c r="C10" s="10"/>
      <c r="D10" s="11"/>
      <c r="E10" s="12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5" ht="21" customHeight="1" x14ac:dyDescent="0.25">
      <c r="A11" s="1"/>
      <c r="B11" s="14" t="str">
        <f t="shared" ref="B11:B21" si="0">TEXT(C11,"ddd")</f>
        <v>Wed</v>
      </c>
      <c r="C11" s="10">
        <f>G3</f>
        <v>46113</v>
      </c>
      <c r="D11" s="11">
        <v>0.375</v>
      </c>
      <c r="E11" s="12">
        <v>0.20833333333333334</v>
      </c>
      <c r="F11" s="13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5" ht="21" customHeight="1" x14ac:dyDescent="0.25">
      <c r="A12" s="1"/>
      <c r="B12" s="14" t="str">
        <f t="shared" si="0"/>
        <v>Thu</v>
      </c>
      <c r="C12" s="10">
        <f t="shared" ref="C12:C40" si="1">C11+1</f>
        <v>46114</v>
      </c>
      <c r="D12" s="11">
        <v>0.375</v>
      </c>
      <c r="E12" s="12">
        <v>0.20833333333333334</v>
      </c>
      <c r="F12" s="13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5" ht="21" customHeight="1" x14ac:dyDescent="0.25">
      <c r="A13" s="1"/>
      <c r="B13" s="14" t="str">
        <f t="shared" si="0"/>
        <v>Fri</v>
      </c>
      <c r="C13" s="10">
        <f t="shared" si="1"/>
        <v>46115</v>
      </c>
      <c r="D13" s="11">
        <v>0.375</v>
      </c>
      <c r="E13" s="12">
        <v>0.20833333333333334</v>
      </c>
      <c r="F13" s="13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5" ht="21" customHeight="1" x14ac:dyDescent="0.25">
      <c r="A14" s="1"/>
      <c r="B14" s="14" t="str">
        <f t="shared" si="0"/>
        <v>Sat</v>
      </c>
      <c r="C14" s="10">
        <f t="shared" si="1"/>
        <v>46116</v>
      </c>
      <c r="D14" s="11"/>
      <c r="E14" s="12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5" ht="21" customHeight="1" x14ac:dyDescent="0.25">
      <c r="A15" s="1"/>
      <c r="B15" s="14" t="str">
        <f t="shared" si="0"/>
        <v>Sun</v>
      </c>
      <c r="C15" s="10">
        <f t="shared" si="1"/>
        <v>46117</v>
      </c>
      <c r="D15" s="11"/>
      <c r="E15" s="12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5" ht="21" customHeight="1" x14ac:dyDescent="0.25">
      <c r="A16" s="1"/>
      <c r="B16" s="14" t="str">
        <f t="shared" si="0"/>
        <v>Mon</v>
      </c>
      <c r="C16" s="10">
        <f t="shared" si="1"/>
        <v>46118</v>
      </c>
      <c r="D16" s="11">
        <v>0.375</v>
      </c>
      <c r="E16" s="12">
        <v>0.20833333333333334</v>
      </c>
      <c r="F16" s="13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5" ht="21" customHeight="1" x14ac:dyDescent="0.25">
      <c r="A17" s="1"/>
      <c r="B17" s="14" t="str">
        <f t="shared" si="0"/>
        <v>Tue</v>
      </c>
      <c r="C17" s="10">
        <f t="shared" si="1"/>
        <v>46119</v>
      </c>
      <c r="D17" s="11">
        <v>0.375</v>
      </c>
      <c r="E17" s="12">
        <v>0.20833333333333334</v>
      </c>
      <c r="F17" s="13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5" ht="21" customHeight="1" x14ac:dyDescent="0.25">
      <c r="A18" s="1"/>
      <c r="B18" s="14" t="str">
        <f t="shared" si="0"/>
        <v>Wed</v>
      </c>
      <c r="C18" s="10">
        <f t="shared" si="1"/>
        <v>46120</v>
      </c>
      <c r="D18" s="11">
        <v>0.375</v>
      </c>
      <c r="E18" s="12">
        <v>0.20833333333333334</v>
      </c>
      <c r="F18" s="13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5" ht="21" customHeight="1" x14ac:dyDescent="0.25">
      <c r="A19" s="1"/>
      <c r="B19" s="14" t="str">
        <f t="shared" si="0"/>
        <v>Thu</v>
      </c>
      <c r="C19" s="10">
        <f t="shared" si="1"/>
        <v>46121</v>
      </c>
      <c r="D19" s="11">
        <v>0.375</v>
      </c>
      <c r="E19" s="12">
        <v>0.20833333333333334</v>
      </c>
      <c r="F19" s="13">
        <v>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5" ht="21" customHeight="1" x14ac:dyDescent="0.25">
      <c r="A20" s="1"/>
      <c r="B20" s="14" t="str">
        <f t="shared" si="0"/>
        <v>Fri</v>
      </c>
      <c r="C20" s="10">
        <f t="shared" si="1"/>
        <v>46122</v>
      </c>
      <c r="D20" s="11">
        <v>0.375</v>
      </c>
      <c r="E20" s="12">
        <v>0.20833333333333334</v>
      </c>
      <c r="F20" s="13">
        <v>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5" ht="21" customHeight="1" x14ac:dyDescent="0.25">
      <c r="A21" s="1"/>
      <c r="B21" s="14" t="str">
        <f t="shared" si="0"/>
        <v>Sat</v>
      </c>
      <c r="C21" s="10">
        <f t="shared" si="1"/>
        <v>46123</v>
      </c>
      <c r="D21" s="11"/>
      <c r="E21" s="12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5" ht="21" customHeight="1" x14ac:dyDescent="0.25">
      <c r="A22" s="1"/>
      <c r="B22" s="14" t="str">
        <f t="shared" ref="B22:B36" si="2">TEXT(C22,"ddd")</f>
        <v>Sun</v>
      </c>
      <c r="C22" s="10">
        <f>C21+1</f>
        <v>46124</v>
      </c>
      <c r="D22" s="11"/>
      <c r="E22" s="12"/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25">
      <c r="A23" s="1"/>
      <c r="B23" s="14" t="str">
        <f t="shared" si="2"/>
        <v>Mon</v>
      </c>
      <c r="C23" s="10">
        <f t="shared" si="1"/>
        <v>46125</v>
      </c>
      <c r="D23" s="11">
        <v>0.375</v>
      </c>
      <c r="E23" s="12">
        <v>0.20833333333333334</v>
      </c>
      <c r="F23" s="13"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5" ht="15" customHeight="1" x14ac:dyDescent="0.25">
      <c r="B24" s="14" t="str">
        <f t="shared" si="2"/>
        <v>Tue</v>
      </c>
      <c r="C24" s="10">
        <f t="shared" si="1"/>
        <v>46126</v>
      </c>
      <c r="D24" s="11">
        <v>0.375</v>
      </c>
      <c r="E24" s="12">
        <v>0.20833333333333334</v>
      </c>
      <c r="F24" s="13">
        <v>8</v>
      </c>
    </row>
    <row r="25" spans="1:25" ht="15" customHeight="1" x14ac:dyDescent="0.25">
      <c r="B25" s="14" t="str">
        <f t="shared" si="2"/>
        <v>Wed</v>
      </c>
      <c r="C25" s="10">
        <f t="shared" si="1"/>
        <v>46127</v>
      </c>
      <c r="D25" s="11">
        <v>0.375</v>
      </c>
      <c r="E25" s="12">
        <v>0.20833333333333334</v>
      </c>
      <c r="F25" s="13">
        <v>8</v>
      </c>
      <c r="G25" s="18"/>
    </row>
    <row r="26" spans="1:25" ht="15" customHeight="1" x14ac:dyDescent="0.25">
      <c r="B26" s="14" t="str">
        <f t="shared" si="2"/>
        <v>Thu</v>
      </c>
      <c r="C26" s="10">
        <f t="shared" si="1"/>
        <v>46128</v>
      </c>
      <c r="D26" s="11">
        <v>0.375</v>
      </c>
      <c r="E26" s="12">
        <v>0.20833333333333334</v>
      </c>
      <c r="F26" s="13">
        <v>8</v>
      </c>
    </row>
    <row r="27" spans="1:25" ht="15" customHeight="1" x14ac:dyDescent="0.25">
      <c r="B27" s="14" t="str">
        <f t="shared" si="2"/>
        <v>Fri</v>
      </c>
      <c r="C27" s="10">
        <f t="shared" si="1"/>
        <v>46129</v>
      </c>
      <c r="D27" s="11">
        <v>0.375</v>
      </c>
      <c r="E27" s="12">
        <v>0.20833333333333334</v>
      </c>
      <c r="F27" s="13">
        <v>8</v>
      </c>
    </row>
    <row r="28" spans="1:25" ht="15" customHeight="1" x14ac:dyDescent="0.25">
      <c r="B28" s="14" t="str">
        <f t="shared" si="2"/>
        <v>Sat</v>
      </c>
      <c r="C28" s="10">
        <f t="shared" si="1"/>
        <v>46130</v>
      </c>
      <c r="D28" s="11"/>
      <c r="E28" s="12"/>
      <c r="F28" s="13"/>
    </row>
    <row r="29" spans="1:25" ht="15" customHeight="1" x14ac:dyDescent="0.25">
      <c r="B29" s="14" t="str">
        <f t="shared" si="2"/>
        <v>Sun</v>
      </c>
      <c r="C29" s="10">
        <f t="shared" si="1"/>
        <v>46131</v>
      </c>
      <c r="D29" s="11"/>
      <c r="E29" s="12"/>
      <c r="F29" s="13"/>
    </row>
    <row r="30" spans="1:25" ht="15" customHeight="1" x14ac:dyDescent="0.25">
      <c r="B30" s="14" t="str">
        <f t="shared" si="2"/>
        <v>Mon</v>
      </c>
      <c r="C30" s="10">
        <f t="shared" si="1"/>
        <v>46132</v>
      </c>
      <c r="D30" s="11">
        <v>0.375</v>
      </c>
      <c r="E30" s="12">
        <v>0.20833333333333334</v>
      </c>
      <c r="F30" s="13">
        <v>8</v>
      </c>
    </row>
    <row r="31" spans="1:25" ht="15" customHeight="1" x14ac:dyDescent="0.25">
      <c r="B31" s="14" t="str">
        <f t="shared" si="2"/>
        <v>Tue</v>
      </c>
      <c r="C31" s="10">
        <f t="shared" si="1"/>
        <v>46133</v>
      </c>
      <c r="D31" s="11">
        <v>0.375</v>
      </c>
      <c r="E31" s="12">
        <v>0.20833333333333334</v>
      </c>
      <c r="F31" s="13">
        <v>8</v>
      </c>
    </row>
    <row r="32" spans="1:25" ht="15" customHeight="1" x14ac:dyDescent="0.25">
      <c r="B32" s="14" t="str">
        <f t="shared" si="2"/>
        <v>Wed</v>
      </c>
      <c r="C32" s="10">
        <f t="shared" si="1"/>
        <v>46134</v>
      </c>
      <c r="D32" s="11">
        <v>0.375</v>
      </c>
      <c r="E32" s="12">
        <v>0.20833333333333334</v>
      </c>
      <c r="F32" s="13">
        <v>8</v>
      </c>
    </row>
    <row r="33" spans="2:7" ht="15" customHeight="1" x14ac:dyDescent="0.25">
      <c r="B33" s="14" t="str">
        <f t="shared" si="2"/>
        <v>Thu</v>
      </c>
      <c r="C33" s="10">
        <f t="shared" si="1"/>
        <v>46135</v>
      </c>
      <c r="D33" s="11">
        <v>0.375</v>
      </c>
      <c r="E33" s="12">
        <v>0.20833333333333334</v>
      </c>
      <c r="F33" s="13">
        <v>8</v>
      </c>
    </row>
    <row r="34" spans="2:7" ht="15" customHeight="1" x14ac:dyDescent="0.25">
      <c r="B34" s="14" t="str">
        <f t="shared" si="2"/>
        <v>Fri</v>
      </c>
      <c r="C34" s="10">
        <f t="shared" si="1"/>
        <v>46136</v>
      </c>
      <c r="D34" s="11">
        <v>0.375</v>
      </c>
      <c r="E34" s="12">
        <v>0.20833333333333334</v>
      </c>
      <c r="F34" s="13">
        <v>8</v>
      </c>
    </row>
    <row r="35" spans="2:7" ht="15" customHeight="1" x14ac:dyDescent="0.25">
      <c r="B35" s="14" t="str">
        <f t="shared" si="2"/>
        <v>Sat</v>
      </c>
      <c r="C35" s="10">
        <f t="shared" si="1"/>
        <v>46137</v>
      </c>
      <c r="D35" s="11"/>
      <c r="E35" s="12"/>
      <c r="F35" s="13"/>
    </row>
    <row r="36" spans="2:7" ht="15" customHeight="1" x14ac:dyDescent="0.25">
      <c r="B36" s="14" t="str">
        <f t="shared" si="2"/>
        <v>Sun</v>
      </c>
      <c r="C36" s="10">
        <f t="shared" si="1"/>
        <v>46138</v>
      </c>
      <c r="D36" s="11"/>
      <c r="E36" s="12"/>
      <c r="F36" s="13"/>
      <c r="G36" s="19"/>
    </row>
    <row r="37" spans="2:7" ht="15" customHeight="1" x14ac:dyDescent="0.25">
      <c r="B37" s="14" t="str">
        <f t="shared" ref="B37:B38" si="3">TEXT(C37,"ddd")</f>
        <v>Mon</v>
      </c>
      <c r="C37" s="10">
        <f t="shared" si="1"/>
        <v>46139</v>
      </c>
      <c r="D37" s="11">
        <v>0.375</v>
      </c>
      <c r="E37" s="12">
        <v>0.20833333333333334</v>
      </c>
      <c r="F37" s="13">
        <v>8</v>
      </c>
      <c r="G37" s="19"/>
    </row>
    <row r="38" spans="2:7" ht="15" customHeight="1" x14ac:dyDescent="0.25">
      <c r="B38" s="14" t="str">
        <f t="shared" si="3"/>
        <v>Tue</v>
      </c>
      <c r="C38" s="10">
        <f t="shared" si="1"/>
        <v>46140</v>
      </c>
      <c r="D38" s="11">
        <v>0.375</v>
      </c>
      <c r="E38" s="12">
        <v>0.20833333333333334</v>
      </c>
      <c r="F38" s="13">
        <v>8</v>
      </c>
      <c r="G38" s="19"/>
    </row>
    <row r="39" spans="2:7" ht="15" customHeight="1" x14ac:dyDescent="0.25">
      <c r="B39" s="14" t="str">
        <f t="shared" ref="B39:B40" si="4">TEXT(C39,"ddd")</f>
        <v>Wed</v>
      </c>
      <c r="C39" s="10">
        <f t="shared" si="1"/>
        <v>46141</v>
      </c>
      <c r="D39" s="11">
        <v>0.375</v>
      </c>
      <c r="E39" s="12">
        <v>0.20833333333333334</v>
      </c>
      <c r="F39" s="13">
        <v>8</v>
      </c>
      <c r="G39" s="19"/>
    </row>
    <row r="40" spans="2:7" ht="15" customHeight="1" x14ac:dyDescent="0.25">
      <c r="B40" s="14" t="str">
        <f t="shared" si="4"/>
        <v>Thu</v>
      </c>
      <c r="C40" s="10">
        <f t="shared" si="1"/>
        <v>46142</v>
      </c>
      <c r="D40" s="11">
        <v>0.375</v>
      </c>
      <c r="E40" s="12">
        <v>0.20833333333333334</v>
      </c>
      <c r="F40" s="13">
        <v>8</v>
      </c>
      <c r="G40" s="19"/>
    </row>
    <row r="42" spans="2:7" ht="15" customHeight="1" thickBot="1" x14ac:dyDescent="0.3">
      <c r="F42" s="16">
        <f>SUM(F11:F40)</f>
        <v>176</v>
      </c>
    </row>
    <row r="43" spans="2:7" ht="15" customHeight="1" thickTop="1" x14ac:dyDescent="0.25"/>
  </sheetData>
  <mergeCells count="8">
    <mergeCell ref="G7:H7"/>
    <mergeCell ref="B3:E3"/>
    <mergeCell ref="G3:H3"/>
    <mergeCell ref="B4:E4"/>
    <mergeCell ref="G4:H4"/>
    <mergeCell ref="B5:E5"/>
    <mergeCell ref="G5:H5"/>
    <mergeCell ref="D7:E7"/>
  </mergeCells>
  <conditionalFormatting sqref="B1:B40">
    <cfRule type="containsText" dxfId="1" priority="2" stopIfTrue="1" operator="containsText" text="Sat">
      <formula>NOT(ISERROR(SEARCH(("Sat"),(B1))))</formula>
    </cfRule>
  </conditionalFormatting>
  <conditionalFormatting sqref="B10:B40">
    <cfRule type="containsText" dxfId="0" priority="1" stopIfTrue="1" operator="containsText" text="Sun">
      <formula>NOT(ISERROR(SEARCH(("Sun"),(B10))))</formula>
    </cfRule>
  </conditionalFormatting>
  <dataValidations xWindow="408" yWindow="521" count="1">
    <dataValidation type="custom" allowBlank="1" showInputMessage="1" showErrorMessage="1" prompt="Invalid Entry - Please enter time in military time format between 0:00 and 23:59 (1:00, 8:00, 13:00, 20:00, etc.)." sqref="D10:E40" xr:uid="{00000000-0002-0000-0000-000000000000}">
      <formula1>AND(GTE(D10,MIN((0),(0.999305555555556))),LTE(D10,MAX((0),(0.999305555555556))))</formula1>
    </dataValidation>
  </dataValidations>
  <hyperlinks>
    <hyperlink ref="G7" r:id="rId1" xr:uid="{00000000-0004-0000-0000-000000000000}"/>
  </hyperlinks>
  <pageMargins left="0.5" right="0.5" top="0.75" bottom="0" header="0" footer="0"/>
  <pageSetup orientation="portrait" r:id="rId2"/>
  <headerFooter>
    <oddFooter>&amp;C_x000D_&amp;1#&amp;"Arial"&amp;10&amp;K000000 Internal</oddFooter>
  </headerFooter>
  <drawing r:id="rId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sathiskumar.a.palanisamy@partners.basf.com</cp:lastModifiedBy>
  <dcterms:created xsi:type="dcterms:W3CDTF">2000-08-25T01:59:39Z</dcterms:created>
  <dcterms:modified xsi:type="dcterms:W3CDTF">2026-04-30T16:17:30Z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TC062071411033</vt:lpwstr>
  </property>
  <property fmtid="{D5CDD505-2E9C-101B-9397-08002B2CF9AE}" pid="3" name="MSIP_Label_06530cf4-8573-4c29-a912-bbcdac835909_Enabled">
    <vt:lpwstr>true</vt:lpwstr>
  </property>
  <property fmtid="{D5CDD505-2E9C-101B-9397-08002B2CF9AE}" pid="4" name="MSIP_Label_06530cf4-8573-4c29-a912-bbcdac835909_SetDate">
    <vt:lpwstr>2025-06-29T23:58:34Z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iteId">
    <vt:lpwstr>ecaa386b-c8df-4ce0-ad01-740cbdb5ba55</vt:lpwstr>
  </property>
  <property fmtid="{D5CDD505-2E9C-101B-9397-08002B2CF9AE}" pid="8" name="MSIP_Label_06530cf4-8573-4c29-a912-bbcdac835909_ActionId">
    <vt:lpwstr>fa1dd13a-2f87-4d1f-ac5a-114c8b300157</vt:lpwstr>
  </property>
  <property fmtid="{D5CDD505-2E9C-101B-9397-08002B2CF9AE}" pid="9" name="MSIP_Label_06530cf4-8573-4c29-a912-bbcdac835909_ContentBits">
    <vt:lpwstr>2</vt:lpwstr>
  </property>
  <property fmtid="{D5CDD505-2E9C-101B-9397-08002B2CF9AE}" pid="10" name="MSIP_Label_06530cf4-8573-4c29-a912-bbcdac835909_Tag">
    <vt:lpwstr>10, 3, 0, 1</vt:lpwstr>
  </property>
</Properties>
</file>