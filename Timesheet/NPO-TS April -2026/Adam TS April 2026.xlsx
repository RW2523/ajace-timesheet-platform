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32a1d5aa51f61/Documents/TCPR/Time Sheet/NPO/2026/April -2026/"/>
    </mc:Choice>
  </mc:AlternateContent>
  <xr:revisionPtr revIDLastSave="4" documentId="8_{3B657F3B-B4AC-45AD-B323-0B928E08EFE2}" xr6:coauthVersionLast="47" xr6:coauthVersionMax="47" xr10:uidLastSave="{56417ED3-5541-442F-A0C8-7101B1585BD0}"/>
  <bookViews>
    <workbookView xWindow="-120" yWindow="-120" windowWidth="20730" windowHeight="11040" activeTab="4" xr2:uid="{41DDD573-434A-45C0-B4F2-1C50CAF2876D}"/>
  </bookViews>
  <sheets>
    <sheet name="April 2025" sheetId="1" r:id="rId1"/>
    <sheet name="Sheet1" sheetId="2" r:id="rId2"/>
    <sheet name="Sheet2" sheetId="3" r:id="rId3"/>
    <sheet name="Sheet3" sheetId="4" r:id="rId4"/>
    <sheet name="Sheet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E12" i="5"/>
  <c r="B5" i="5"/>
  <c r="B6" i="5" s="1"/>
  <c r="B7" i="5" s="1"/>
  <c r="F12" i="4"/>
  <c r="E12" i="4"/>
  <c r="B5" i="4"/>
  <c r="B6" i="4" s="1"/>
  <c r="B7" i="4" s="1"/>
  <c r="B8" i="4" s="1"/>
  <c r="B9" i="4" s="1"/>
  <c r="B10" i="4" s="1"/>
  <c r="F12" i="3"/>
  <c r="E12" i="3"/>
  <c r="B5" i="3"/>
  <c r="B6" i="3" s="1"/>
  <c r="B7" i="3" s="1"/>
  <c r="B8" i="3" s="1"/>
  <c r="B9" i="3" s="1"/>
  <c r="B10" i="3" s="1"/>
  <c r="F12" i="2"/>
  <c r="E12" i="2"/>
  <c r="B5" i="2"/>
  <c r="B6" i="2" s="1"/>
  <c r="B7" i="2" s="1"/>
  <c r="B8" i="2" s="1"/>
  <c r="B9" i="2" s="1"/>
  <c r="B10" i="2" s="1"/>
  <c r="E12" i="1"/>
  <c r="B5" i="1"/>
  <c r="B6" i="1" s="1"/>
  <c r="B7" i="1" s="1"/>
  <c r="B8" i="1" s="1"/>
  <c r="B9" i="1" s="1"/>
  <c r="B10" i="1" s="1"/>
  <c r="F12" i="1"/>
</calcChain>
</file>

<file path=xl/sharedStrings.xml><?xml version="1.0" encoding="utf-8"?>
<sst xmlns="http://schemas.openxmlformats.org/spreadsheetml/2006/main" count="117" uniqueCount="29">
  <si>
    <t>DAY</t>
  </si>
  <si>
    <t xml:space="preserve">DATE </t>
  </si>
  <si>
    <t>NUMBER OF REGULAR HOURS</t>
  </si>
  <si>
    <t>NUMBER OF OVERTIME HOURS</t>
  </si>
  <si>
    <t xml:space="preserve"> NOTES</t>
  </si>
  <si>
    <t>MONDAY</t>
  </si>
  <si>
    <t>TUESDAY</t>
  </si>
  <si>
    <t>WEDNESDAY</t>
  </si>
  <si>
    <t>THURSDAY</t>
  </si>
  <si>
    <t>FRIDAY</t>
  </si>
  <si>
    <t>SATURDAY</t>
  </si>
  <si>
    <t>SUNDAY</t>
  </si>
  <si>
    <t>NUMBER OF WEEKLY REGULAR HOURS</t>
  </si>
  <si>
    <t>NUMBER OF WEEKLY OVERTIME HOURS</t>
  </si>
  <si>
    <t>NUMBER OF 
WEEKLY ONCALL SHIFT 
(enter either 0 or 1)</t>
  </si>
  <si>
    <t>TIME IN</t>
  </si>
  <si>
    <t>TIME OUT</t>
  </si>
  <si>
    <t>Adam Linke, Weekly Time Record</t>
  </si>
  <si>
    <t>WEEK _ TOTALS</t>
  </si>
  <si>
    <t xml:space="preserve">Urgent requests for access, support while remote </t>
  </si>
  <si>
    <t xml:space="preserve">VIP access and support for Sheila and Eric, laptop review and answering emails </t>
  </si>
  <si>
    <t xml:space="preserve">L1/L2 Support and Training. Escalations and in-person meeting support </t>
  </si>
  <si>
    <t xml:space="preserve">Meetings, Dashboards and reports. L1 / L2 Support </t>
  </si>
  <si>
    <t xml:space="preserve">Access requests and support. Project udpates for Datto and other support </t>
  </si>
  <si>
    <t xml:space="preserve">Meetings, Dashboards and reports. Urgent Datto discusisons </t>
  </si>
  <si>
    <t xml:space="preserve">L1/L2 Daily meetings and review. Project udpates for Datto and other support </t>
  </si>
  <si>
    <t xml:space="preserve">L1/L2 Support and Training. Escalations and in-person meeting support. Waiting for leadership meetings and TB </t>
  </si>
  <si>
    <t xml:space="preserve">Global Protect issues, L1 / L2 Support, onsite meeting support and </t>
  </si>
  <si>
    <t xml:space="preserve">L1/L2 Support and Training. Escalations. Left at 12 and resumed from home. Remote support and updating dashboards.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</si>
</sst>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/>
    </xf>
    <xf numFmtId="0" fontId="5" fillId="7" borderId="8" xfId="0" applyFont="1" applyFill="1" applyBorder="1" applyAlignment="1">
      <alignment horizontal="left" wrapText="1"/>
    </xf>
    <xf numFmtId="0" fontId="6" fillId="7" borderId="9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left" wrapText="1"/>
    </xf>
    <xf numFmtId="0" fontId="4" fillId="5" borderId="10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left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wrapText="1"/>
    </xf>
    <xf numFmtId="0" fontId="10" fillId="7" borderId="22" xfId="0" applyFont="1" applyFill="1" applyBorder="1" applyAlignment="1">
      <alignment horizontal="center"/>
    </xf>
    <xf numFmtId="18" fontId="4" fillId="7" borderId="8" xfId="0" applyNumberFormat="1" applyFont="1" applyFill="1" applyBorder="1" applyAlignment="1">
      <alignment horizontal="left" wrapText="1"/>
    </xf>
    <xf numFmtId="15" fontId="4" fillId="6" borderId="8" xfId="0" applyNumberFormat="1" applyFont="1" applyFill="1" applyBorder="1" applyAlignment="1">
      <alignment horizontal="center" wrapText="1"/>
    </xf>
    <xf numFmtId="2" fontId="4" fillId="7" borderId="8" xfId="0" applyNumberFormat="1" applyFont="1" applyFill="1" applyBorder="1" applyAlignment="1">
      <alignment horizontal="left" wrapText="1"/>
    </xf>
    <xf numFmtId="2" fontId="9" fillId="6" borderId="2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9D82-1B42-49E9-B6E2-E7269B1BE716}">
  <dimension ref="A1:G23"/>
  <sheetViews>
    <sheetView zoomScale="80" zoomScaleNormal="80" workbookViewId="0">
      <selection activeCell="G7" sqref="G7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31.35" customHeight="1" x14ac:dyDescent="0.25">
      <c r="A4" s="5" t="s">
        <v>5</v>
      </c>
      <c r="B4" s="18">
        <v>46111</v>
      </c>
      <c r="C4" s="17"/>
      <c r="D4" s="17"/>
      <c r="E4" s="19"/>
      <c r="F4" s="6"/>
      <c r="G4" s="7"/>
    </row>
    <row r="5" spans="1:7" ht="31.35" customHeight="1" x14ac:dyDescent="0.25">
      <c r="A5" s="8" t="s">
        <v>6</v>
      </c>
      <c r="B5" s="18">
        <f>(B4)+1</f>
        <v>46112</v>
      </c>
      <c r="C5" s="17"/>
      <c r="D5" s="17"/>
      <c r="E5" s="19"/>
      <c r="F5" s="9"/>
      <c r="G5" s="7"/>
    </row>
    <row r="6" spans="1:7" ht="31.35" customHeight="1" x14ac:dyDescent="0.25">
      <c r="A6" s="10" t="s">
        <v>7</v>
      </c>
      <c r="B6" s="18">
        <f>(B5)+1</f>
        <v>46113</v>
      </c>
      <c r="C6" s="17">
        <v>0.5</v>
      </c>
      <c r="D6" s="17">
        <v>0.54166666666666663</v>
      </c>
      <c r="E6" s="19">
        <v>1</v>
      </c>
      <c r="F6" s="9"/>
      <c r="G6" s="7" t="s">
        <v>19</v>
      </c>
    </row>
    <row r="7" spans="1:7" ht="31.35" customHeight="1" x14ac:dyDescent="0.25">
      <c r="A7" s="8" t="s">
        <v>8</v>
      </c>
      <c r="B7" s="18">
        <f t="shared" ref="B7:B10" si="0">(B6)+1</f>
        <v>46114</v>
      </c>
      <c r="C7" s="17">
        <v>0.41666666666666669</v>
      </c>
      <c r="D7" s="17">
        <v>0.54166666666666663</v>
      </c>
      <c r="E7" s="19">
        <v>3</v>
      </c>
      <c r="F7" s="9"/>
      <c r="G7" s="7" t="s">
        <v>20</v>
      </c>
    </row>
    <row r="8" spans="1:7" ht="31.35" customHeight="1" x14ac:dyDescent="0.25">
      <c r="A8" s="8" t="s">
        <v>9</v>
      </c>
      <c r="B8" s="18">
        <f t="shared" si="0"/>
        <v>46115</v>
      </c>
      <c r="C8" s="17"/>
      <c r="D8" s="17"/>
      <c r="E8" s="19"/>
      <c r="F8" s="9"/>
      <c r="G8" s="7"/>
    </row>
    <row r="9" spans="1:7" ht="31.35" customHeight="1" x14ac:dyDescent="0.25">
      <c r="A9" s="10" t="s">
        <v>10</v>
      </c>
      <c r="B9" s="18">
        <f t="shared" si="0"/>
        <v>46116</v>
      </c>
      <c r="C9" s="17"/>
      <c r="D9" s="17"/>
      <c r="E9" s="9"/>
      <c r="F9" s="9"/>
      <c r="G9" s="7"/>
    </row>
    <row r="10" spans="1:7" ht="30" customHeight="1" thickBot="1" x14ac:dyDescent="0.3">
      <c r="A10" s="11" t="s">
        <v>11</v>
      </c>
      <c r="B10" s="18">
        <f t="shared" si="0"/>
        <v>46117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" x14ac:dyDescent="0.35">
      <c r="A12" s="30"/>
      <c r="B12" s="31"/>
      <c r="C12" s="31"/>
      <c r="D12" s="32"/>
      <c r="E12" s="20">
        <f>SUM(E4:E10)</f>
        <v>4</v>
      </c>
      <c r="F12" s="15">
        <f>SUM(F4:F10)</f>
        <v>0</v>
      </c>
      <c r="G12" s="16">
        <v>0</v>
      </c>
    </row>
    <row r="17" ht="31.35" customHeight="1" x14ac:dyDescent="0.25"/>
    <row r="18" ht="31.35" customHeight="1" x14ac:dyDescent="0.25"/>
    <row r="19" ht="31.35" customHeight="1" x14ac:dyDescent="0.25"/>
    <row r="20" ht="31.35" customHeight="1" x14ac:dyDescent="0.25"/>
    <row r="21" ht="31.35" customHeight="1" x14ac:dyDescent="0.25"/>
    <row r="22" ht="31.35" customHeight="1" x14ac:dyDescent="0.25"/>
    <row r="23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  <pageSetup orientation="portrait" r:id="rId1"/>
  <headerFooter>
    <oddHeader>&amp;R&amp;"Calibri"&amp;10&amp;K393939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EFA2-1D94-4C9D-AEFA-E753EFF790BE}">
  <dimension ref="A1:G23"/>
  <sheetViews>
    <sheetView zoomScale="87" zoomScaleNormal="87" workbookViewId="0">
      <selection sqref="A1:XFD1048576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46118</v>
      </c>
      <c r="C4" s="17">
        <v>0.25</v>
      </c>
      <c r="D4" s="17">
        <v>0.66666666666666663</v>
      </c>
      <c r="E4" s="19">
        <v>8</v>
      </c>
      <c r="F4" s="6">
        <v>2</v>
      </c>
      <c r="G4" s="7" t="s">
        <v>21</v>
      </c>
    </row>
    <row r="5" spans="1:7" ht="15.75" x14ac:dyDescent="0.25">
      <c r="A5" s="8" t="s">
        <v>6</v>
      </c>
      <c r="B5" s="18">
        <f>(B4)+1</f>
        <v>46119</v>
      </c>
      <c r="C5" s="17">
        <v>0.25</v>
      </c>
      <c r="D5" s="17">
        <v>0.70833333333333337</v>
      </c>
      <c r="E5" s="19">
        <v>8</v>
      </c>
      <c r="F5" s="9">
        <v>2</v>
      </c>
      <c r="G5" s="7" t="s">
        <v>22</v>
      </c>
    </row>
    <row r="6" spans="1:7" ht="15.75" x14ac:dyDescent="0.25">
      <c r="A6" s="10" t="s">
        <v>7</v>
      </c>
      <c r="B6" s="18">
        <f>(B5)+1</f>
        <v>46120</v>
      </c>
      <c r="C6" s="17">
        <v>0.25</v>
      </c>
      <c r="D6" s="17">
        <v>0.625</v>
      </c>
      <c r="E6" s="19">
        <v>8</v>
      </c>
      <c r="F6" s="9"/>
      <c r="G6" s="7" t="s">
        <v>23</v>
      </c>
    </row>
    <row r="7" spans="1:7" ht="15.75" x14ac:dyDescent="0.25">
      <c r="A7" s="8" t="s">
        <v>8</v>
      </c>
      <c r="B7" s="18">
        <f t="shared" ref="B7:B10" si="0">(B6)+1</f>
        <v>46121</v>
      </c>
      <c r="C7" s="17">
        <v>0.25</v>
      </c>
      <c r="D7" s="17">
        <v>0.66666666666666663</v>
      </c>
      <c r="E7" s="19">
        <v>8</v>
      </c>
      <c r="F7" s="9">
        <v>2</v>
      </c>
      <c r="G7" s="7" t="s">
        <v>20</v>
      </c>
    </row>
    <row r="8" spans="1:7" ht="15.75" x14ac:dyDescent="0.25">
      <c r="A8" s="8" t="s">
        <v>9</v>
      </c>
      <c r="B8" s="18">
        <f t="shared" si="0"/>
        <v>46122</v>
      </c>
      <c r="C8" s="17">
        <v>0.27083333333333331</v>
      </c>
      <c r="D8" s="17">
        <v>0.64583333333333337</v>
      </c>
      <c r="E8" s="19">
        <v>8</v>
      </c>
      <c r="F8" s="9"/>
      <c r="G8" s="7" t="s">
        <v>22</v>
      </c>
    </row>
    <row r="9" spans="1:7" ht="15.75" x14ac:dyDescent="0.25">
      <c r="A9" s="10" t="s">
        <v>10</v>
      </c>
      <c r="B9" s="18">
        <f t="shared" si="0"/>
        <v>46123</v>
      </c>
      <c r="C9" s="17"/>
      <c r="D9" s="17"/>
      <c r="E9" s="9"/>
      <c r="F9" s="9"/>
      <c r="G9" s="7"/>
    </row>
    <row r="10" spans="1:7" ht="16.5" thickBot="1" x14ac:dyDescent="0.3">
      <c r="A10" s="11" t="s">
        <v>11</v>
      </c>
      <c r="B10" s="18">
        <f t="shared" si="0"/>
        <v>46124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40</v>
      </c>
      <c r="F12" s="15">
        <f>SUM(F4:F10)</f>
        <v>6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E31F-227C-48F9-B8C9-B37C6F1CB15E}">
  <dimension ref="A1:G23"/>
  <sheetViews>
    <sheetView zoomScale="78" zoomScaleNormal="78" workbookViewId="0">
      <selection activeCell="J6" sqref="J6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46125</v>
      </c>
      <c r="C4" s="17">
        <v>0.25</v>
      </c>
      <c r="D4" s="17">
        <v>0.66666666666666663</v>
      </c>
      <c r="E4" s="19">
        <v>8</v>
      </c>
      <c r="F4" s="6">
        <v>2</v>
      </c>
      <c r="G4" s="7" t="s">
        <v>21</v>
      </c>
    </row>
    <row r="5" spans="1:7" ht="15.75" x14ac:dyDescent="0.25">
      <c r="A5" s="8" t="s">
        <v>6</v>
      </c>
      <c r="B5" s="18">
        <f>(B4)+1</f>
        <v>46126</v>
      </c>
      <c r="C5" s="17">
        <v>0.25</v>
      </c>
      <c r="D5" s="17">
        <v>0.70833333333333337</v>
      </c>
      <c r="E5" s="19">
        <v>8</v>
      </c>
      <c r="F5" s="9">
        <v>2</v>
      </c>
      <c r="G5" s="7" t="s">
        <v>24</v>
      </c>
    </row>
    <row r="6" spans="1:7" ht="15.75" x14ac:dyDescent="0.25">
      <c r="A6" s="10" t="s">
        <v>7</v>
      </c>
      <c r="B6" s="18">
        <f>(B5)+1</f>
        <v>46127</v>
      </c>
      <c r="C6" s="17">
        <v>0.25</v>
      </c>
      <c r="D6" s="17">
        <v>0.70833333333333337</v>
      </c>
      <c r="E6" s="19">
        <v>8</v>
      </c>
      <c r="F6" s="9">
        <v>1</v>
      </c>
      <c r="G6" s="7" t="s">
        <v>25</v>
      </c>
    </row>
    <row r="7" spans="1:7" ht="15.75" x14ac:dyDescent="0.25">
      <c r="A7" s="8" t="s">
        <v>8</v>
      </c>
      <c r="B7" s="18">
        <f t="shared" ref="B7:B10" si="0">(B6)+1</f>
        <v>46128</v>
      </c>
      <c r="C7" s="17">
        <v>0.25</v>
      </c>
      <c r="D7" s="17">
        <v>0.66666666666666663</v>
      </c>
      <c r="E7" s="19">
        <v>8</v>
      </c>
      <c r="F7" s="9">
        <v>2</v>
      </c>
      <c r="G7" s="7" t="s">
        <v>25</v>
      </c>
    </row>
    <row r="8" spans="1:7" ht="15.75" x14ac:dyDescent="0.25">
      <c r="A8" s="8" t="s">
        <v>9</v>
      </c>
      <c r="B8" s="18">
        <f t="shared" si="0"/>
        <v>46129</v>
      </c>
      <c r="C8" s="17">
        <v>0.27083333333333331</v>
      </c>
      <c r="D8" s="17">
        <v>0.64583333333333337</v>
      </c>
      <c r="E8" s="19">
        <v>8</v>
      </c>
      <c r="F8" s="9"/>
      <c r="G8" s="7" t="s">
        <v>22</v>
      </c>
    </row>
    <row r="9" spans="1:7" ht="15.75" x14ac:dyDescent="0.25">
      <c r="A9" s="10" t="s">
        <v>10</v>
      </c>
      <c r="B9" s="18">
        <f t="shared" si="0"/>
        <v>46130</v>
      </c>
      <c r="C9" s="17"/>
      <c r="D9" s="17"/>
      <c r="E9" s="9"/>
      <c r="F9" s="9"/>
      <c r="G9" s="7"/>
    </row>
    <row r="10" spans="1:7" ht="16.5" thickBot="1" x14ac:dyDescent="0.3">
      <c r="A10" s="11" t="s">
        <v>11</v>
      </c>
      <c r="B10" s="18">
        <f t="shared" si="0"/>
        <v>46131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40</v>
      </c>
      <c r="F12" s="15">
        <f>SUM(F4:F10)</f>
        <v>7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CB3C-AC10-4C45-9BAC-210102815FA2}">
  <dimension ref="A1:G23"/>
  <sheetViews>
    <sheetView topLeftCell="A2" workbookViewId="0">
      <selection sqref="A1:XFD1048576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20</v>
      </c>
      <c r="C4" s="17">
        <v>0.25</v>
      </c>
      <c r="D4" s="17">
        <v>0.72916666666666663</v>
      </c>
      <c r="E4" s="19">
        <v>8</v>
      </c>
      <c r="F4" s="6">
        <v>3.5</v>
      </c>
      <c r="G4" s="7" t="s">
        <v>26</v>
      </c>
    </row>
    <row r="5" spans="1:7" ht="15.75" x14ac:dyDescent="0.25">
      <c r="A5" s="8" t="s">
        <v>6</v>
      </c>
      <c r="B5" s="18">
        <f>(B4)+1</f>
        <v>21</v>
      </c>
      <c r="C5" s="17">
        <v>0.25</v>
      </c>
      <c r="D5" s="17">
        <v>0.75</v>
      </c>
      <c r="E5" s="19">
        <v>8</v>
      </c>
      <c r="F5" s="9">
        <v>4</v>
      </c>
      <c r="G5" s="7" t="s">
        <v>24</v>
      </c>
    </row>
    <row r="6" spans="1:7" ht="15.75" x14ac:dyDescent="0.25">
      <c r="A6" s="10" t="s">
        <v>7</v>
      </c>
      <c r="B6" s="18">
        <f>(B5)+1</f>
        <v>22</v>
      </c>
      <c r="C6" s="17">
        <v>0.20833333333333334</v>
      </c>
      <c r="D6" s="17">
        <v>0.70833333333333337</v>
      </c>
      <c r="E6" s="19">
        <v>8</v>
      </c>
      <c r="F6" s="9">
        <v>4</v>
      </c>
      <c r="G6" s="7" t="s">
        <v>27</v>
      </c>
    </row>
    <row r="7" spans="1:7" ht="15.75" x14ac:dyDescent="0.25">
      <c r="A7" s="8" t="s">
        <v>8</v>
      </c>
      <c r="B7" s="18">
        <f t="shared" ref="B7:B10" si="0">(B6)+1</f>
        <v>23</v>
      </c>
      <c r="C7" s="17">
        <v>0.25</v>
      </c>
      <c r="D7" s="17">
        <v>0.66666666666666663</v>
      </c>
      <c r="E7" s="19">
        <v>8</v>
      </c>
      <c r="F7" s="9">
        <v>2</v>
      </c>
      <c r="G7" s="7" t="s">
        <v>25</v>
      </c>
    </row>
    <row r="8" spans="1:7" ht="15.75" x14ac:dyDescent="0.25">
      <c r="A8" s="8" t="s">
        <v>9</v>
      </c>
      <c r="B8" s="18">
        <f t="shared" si="0"/>
        <v>24</v>
      </c>
      <c r="C8" s="17">
        <v>0.27083333333333331</v>
      </c>
      <c r="D8" s="17">
        <v>0.64583333333333337</v>
      </c>
      <c r="E8" s="19">
        <v>8</v>
      </c>
      <c r="F8" s="9"/>
      <c r="G8" s="7" t="s">
        <v>22</v>
      </c>
    </row>
    <row r="9" spans="1:7" ht="15.75" x14ac:dyDescent="0.25">
      <c r="A9" s="10" t="s">
        <v>10</v>
      </c>
      <c r="B9" s="18">
        <f t="shared" si="0"/>
        <v>25</v>
      </c>
      <c r="C9" s="17"/>
      <c r="D9" s="17"/>
      <c r="E9" s="9"/>
      <c r="F9" s="9"/>
      <c r="G9" s="7"/>
    </row>
    <row r="10" spans="1:7" ht="16.5" thickBot="1" x14ac:dyDescent="0.3">
      <c r="A10" s="11" t="s">
        <v>11</v>
      </c>
      <c r="B10" s="18">
        <f t="shared" si="0"/>
        <v>26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40</v>
      </c>
      <c r="F12" s="15">
        <f>SUM(F4:F10)</f>
        <v>13.5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DCB1-E783-4E0E-A576-67A7ADF623EC}">
  <dimension ref="A1:G23"/>
  <sheetViews>
    <sheetView tabSelected="1" workbookViewId="0">
      <selection activeCell="G3" sqref="G3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46139</v>
      </c>
      <c r="C4" s="17">
        <v>0.25</v>
      </c>
      <c r="D4" s="17">
        <v>0.625</v>
      </c>
      <c r="E4" s="19">
        <v>8</v>
      </c>
      <c r="F4" s="6"/>
      <c r="G4" s="7" t="s">
        <v>28</v>
      </c>
    </row>
    <row r="5" spans="1:7" ht="15.75" x14ac:dyDescent="0.25">
      <c r="A5" s="8" t="s">
        <v>6</v>
      </c>
      <c r="B5" s="18">
        <f>(B4)+1</f>
        <v>46140</v>
      </c>
      <c r="C5" s="17">
        <v>0.25</v>
      </c>
      <c r="D5" s="17">
        <v>0.75</v>
      </c>
      <c r="E5" s="19">
        <v>8</v>
      </c>
      <c r="F5" s="9"/>
      <c r="G5" s="7" t="s">
        <v>24</v>
      </c>
    </row>
    <row r="6" spans="1:7" ht="15.75" x14ac:dyDescent="0.25">
      <c r="A6" s="10" t="s">
        <v>7</v>
      </c>
      <c r="B6" s="18">
        <f>(B5)+1</f>
        <v>46141</v>
      </c>
      <c r="C6" s="17">
        <v>0.20833333333333334</v>
      </c>
      <c r="D6" s="17">
        <v>0.70833333333333337</v>
      </c>
      <c r="E6" s="19">
        <v>8</v>
      </c>
      <c r="F6" s="9"/>
      <c r="G6" s="7" t="s">
        <v>27</v>
      </c>
    </row>
    <row r="7" spans="1:7" ht="15.75" x14ac:dyDescent="0.25">
      <c r="A7" s="8" t="s">
        <v>8</v>
      </c>
      <c r="B7" s="18">
        <f t="shared" ref="B7" si="0">(B6)+1</f>
        <v>46142</v>
      </c>
      <c r="C7" s="17">
        <v>0.25</v>
      </c>
      <c r="D7" s="17">
        <v>0.66666666666666663</v>
      </c>
      <c r="E7" s="19">
        <v>8</v>
      </c>
      <c r="F7" s="9"/>
      <c r="G7" s="7" t="s">
        <v>25</v>
      </c>
    </row>
    <row r="8" spans="1:7" ht="15.75" x14ac:dyDescent="0.25">
      <c r="A8" s="8" t="s">
        <v>9</v>
      </c>
      <c r="B8" s="18"/>
      <c r="C8" s="17"/>
      <c r="D8" s="17"/>
      <c r="E8" s="19"/>
      <c r="F8" s="9"/>
      <c r="G8" s="7" t="s">
        <v>22</v>
      </c>
    </row>
    <row r="9" spans="1:7" ht="15.75" x14ac:dyDescent="0.25">
      <c r="A9" s="10" t="s">
        <v>10</v>
      </c>
      <c r="B9" s="18"/>
      <c r="C9" s="17"/>
      <c r="D9" s="17"/>
      <c r="E9" s="9"/>
      <c r="F9" s="9"/>
      <c r="G9" s="7"/>
    </row>
    <row r="10" spans="1:7" ht="16.5" thickBot="1" x14ac:dyDescent="0.3">
      <c r="A10" s="11" t="s">
        <v>11</v>
      </c>
      <c r="B10" s="18"/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32</v>
      </c>
      <c r="F12" s="15">
        <f>SUM(F4:F10)</f>
        <v>0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b6e8ef6d-8920-46e0-86ca-64a41b1eaa3c" xsi:nil="true"/>
    <_activity xmlns="b6e8ef6d-8920-46e0-86ca-64a41b1eaa3c" xsi:nil="true"/>
    <MigrationWizId xmlns="b6e8ef6d-8920-46e0-86ca-64a41b1eaa3c" xsi:nil="true"/>
    <MigrationWizIdPermissions xmlns="b6e8ef6d-8920-46e0-86ca-64a41b1eaa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931A3CD647C04EA010179AB56BB4FF" ma:contentTypeVersion="15" ma:contentTypeDescription="Create a new document." ma:contentTypeScope="" ma:versionID="cbcfaef32264994ea040ec82217604c8">
  <xsd:schema xmlns:xsd="http://www.w3.org/2001/XMLSchema" xmlns:xs="http://www.w3.org/2001/XMLSchema" xmlns:p="http://schemas.microsoft.com/office/2006/metadata/properties" xmlns:ns3="b6e8ef6d-8920-46e0-86ca-64a41b1eaa3c" xmlns:ns4="1fa5210f-caf0-4d0c-ab2e-c6c3b48082f1" targetNamespace="http://schemas.microsoft.com/office/2006/metadata/properties" ma:root="true" ma:fieldsID="a3f69b6870eb0422fcbaa4d963e824da" ns3:_="" ns4:_="">
    <xsd:import namespace="b6e8ef6d-8920-46e0-86ca-64a41b1eaa3c"/>
    <xsd:import namespace="1fa5210f-caf0-4d0c-ab2e-c6c3b48082f1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8ef6d-8920-46e0-86ca-64a41b1eaa3c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5210f-caf0-4d0c-ab2e-c6c3b48082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206397-3BC8-434A-99F1-8FEF072F866E}">
  <ds:schemaRefs>
    <ds:schemaRef ds:uri="http://schemas.microsoft.com/office/2006/metadata/properties"/>
    <ds:schemaRef ds:uri="http://schemas.microsoft.com/office/infopath/2007/PartnerControls"/>
    <ds:schemaRef ds:uri="b6e8ef6d-8920-46e0-86ca-64a41b1eaa3c"/>
  </ds:schemaRefs>
</ds:datastoreItem>
</file>

<file path=customXml/itemProps2.xml><?xml version="1.0" encoding="utf-8"?>
<ds:datastoreItem xmlns:ds="http://schemas.openxmlformats.org/officeDocument/2006/customXml" ds:itemID="{A15BAF41-A8D4-4E19-B4A5-A9D40E2E92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B0705E-F5B5-4D0E-8B90-9D7E80340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8ef6d-8920-46e0-86ca-64a41b1eaa3c"/>
    <ds:schemaRef ds:uri="1fa5210f-caf0-4d0c-ab2e-c6c3b48082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 2025</vt:lpstr>
      <vt:lpstr>Sheet1</vt:lpstr>
      <vt:lpstr>Sheet2</vt:lpstr>
      <vt:lpstr>Sheet3</vt:lpstr>
      <vt:lpstr>Sheet4</vt:lpstr>
    </vt:vector>
  </TitlesOfParts>
  <Manager/>
  <Company>DiaSorin Molecular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Nnodim, Lyll C.</dc:creator>
  <cp:keywords/>
  <dc:description/>
  <cp:lastModifiedBy>subashini kamalnathsingh</cp:lastModifiedBy>
  <cp:revision/>
  <dcterms:created xsi:type="dcterms:W3CDTF">2022-04-08T21:49:52Z</dcterms:created>
  <dcterms:modified xsi:type="dcterms:W3CDTF">2026-04-30T15:22:53Z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0x010100F2931A3CD647C04EA010179AB56BB4FF</vt:lpwstr>
  </property>
  <property fmtid="{D5CDD505-2E9C-101B-9397-08002B2CF9AE}" pid="3" name="MSIP_Label_13b9917a-c9f7-4fe5-9319-a6ab5aebc5cc_Enabled">
    <vt:lpwstr>true</vt:lpwstr>
  </property>
  <property fmtid="{D5CDD505-2E9C-101B-9397-08002B2CF9AE}" pid="4" name="MSIP_Label_13b9917a-c9f7-4fe5-9319-a6ab5aebc5cc_SetDate">
    <vt:lpwstr>2025-03-18T17:55:41Z</vt:lpwstr>
  </property>
  <property fmtid="{D5CDD505-2E9C-101B-9397-08002B2CF9AE}" pid="5" name="MSIP_Label_13b9917a-c9f7-4fe5-9319-a6ab5aebc5cc_Method">
    <vt:lpwstr>Standard</vt:lpwstr>
  </property>
  <property fmtid="{D5CDD505-2E9C-101B-9397-08002B2CF9AE}" pid="6" name="MSIP_Label_13b9917a-c9f7-4fe5-9319-a6ab5aebc5cc_Name">
    <vt:lpwstr>Internal</vt:lpwstr>
  </property>
  <property fmtid="{D5CDD505-2E9C-101B-9397-08002B2CF9AE}" pid="7" name="MSIP_Label_13b9917a-c9f7-4fe5-9319-a6ab5aebc5cc_SiteId">
    <vt:lpwstr>3d43e001-1b92-4697-b855-1d8ca369b21e</vt:lpwstr>
  </property>
  <property fmtid="{D5CDD505-2E9C-101B-9397-08002B2CF9AE}" pid="8" name="MSIP_Label_13b9917a-c9f7-4fe5-9319-a6ab5aebc5cc_ActionId">
    <vt:lpwstr>f1a4bc43-0af2-4e9a-b668-63ecc1905de3</vt:lpwstr>
  </property>
  <property fmtid="{D5CDD505-2E9C-101B-9397-08002B2CF9AE}" pid="9" name="MSIP_Label_13b9917a-c9f7-4fe5-9319-a6ab5aebc5cc_ContentBits">
    <vt:lpwstr>1</vt:lpwstr>
  </property>
  <property fmtid="{D5CDD505-2E9C-101B-9397-08002B2CF9AE}" pid="10" name="MSIP_Label_13b9917a-c9f7-4fe5-9319-a6ab5aebc5cc_Tag">
    <vt:lpwstr>10, 3, 0, 1</vt:lpwstr>
  </property>
</Properties>
</file>