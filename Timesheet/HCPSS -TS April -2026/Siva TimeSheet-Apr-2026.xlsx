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ntsselvaraj\Downloads\"/>
    </mc:Choice>
  </mc:AlternateContent>
  <xr:revisionPtr revIDLastSave="0" documentId="13_ncr:1_{EDB3318C-F83C-4855-AB25-3FEBDB620B1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otals" sheetId="1" r:id="rId1"/>
    <sheet name="we 04-05" sheetId="12" r:id="rId2"/>
    <sheet name="we 04-12" sheetId="10" r:id="rId3"/>
    <sheet name="we 04-19" sheetId="4" r:id="rId4"/>
    <sheet name="we 04-26" sheetId="11" r:id="rId5"/>
    <sheet name="we 05-03" sheetId="6" r:id="rId6"/>
  </sheets>
  <definedNames>
    <definedName name="_xlnm.Print_Area" localSheetId="1">'we 04-05'!$A$1:$J$25</definedName>
    <definedName name="_xlnm.Print_Area" localSheetId="2">'we 04-12'!$A$1:$J$25</definedName>
    <definedName name="_xlnm.Print_Area" localSheetId="3">'we 04-19'!$A$1:$J$25</definedName>
    <definedName name="_xlnm.Print_Area" localSheetId="4">'we 04-26'!$A$1:$J$25</definedName>
    <definedName name="_xlnm.Print_Area" localSheetId="5">'we 05-03'!$A$1:$J$25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5" i="1"/>
  <c r="B4" i="1"/>
  <c r="B3" i="1"/>
  <c r="B2" i="1"/>
  <c r="G14" i="6"/>
  <c r="G13" i="6"/>
  <c r="G12" i="6"/>
  <c r="J12" i="6" s="1"/>
  <c r="G11" i="6"/>
  <c r="J11" i="6" s="1"/>
  <c r="G15" i="11"/>
  <c r="G14" i="11"/>
  <c r="G13" i="11"/>
  <c r="J13" i="11" s="1"/>
  <c r="G12" i="11"/>
  <c r="G11" i="11"/>
  <c r="G15" i="4"/>
  <c r="G14" i="4"/>
  <c r="G13" i="4"/>
  <c r="G12" i="4"/>
  <c r="G11" i="4"/>
  <c r="G15" i="10"/>
  <c r="G15" i="12"/>
  <c r="G14" i="12"/>
  <c r="J14" i="12" s="1"/>
  <c r="G13" i="12"/>
  <c r="I18" i="12"/>
  <c r="H18" i="12"/>
  <c r="J17" i="12"/>
  <c r="J16" i="12"/>
  <c r="J15" i="12"/>
  <c r="J13" i="12"/>
  <c r="C12" i="12"/>
  <c r="C13" i="12" s="1"/>
  <c r="C14" i="12" s="1"/>
  <c r="C15" i="12" s="1"/>
  <c r="C16" i="12" s="1"/>
  <c r="C17" i="12" s="1"/>
  <c r="I4" i="12" s="1"/>
  <c r="J11" i="12"/>
  <c r="J12" i="4"/>
  <c r="J11" i="4"/>
  <c r="G14" i="10"/>
  <c r="J14" i="10" s="1"/>
  <c r="C12" i="11"/>
  <c r="C13" i="11" s="1"/>
  <c r="C14" i="11" s="1"/>
  <c r="C15" i="11" s="1"/>
  <c r="C16" i="11" s="1"/>
  <c r="C17" i="11" s="1"/>
  <c r="I4" i="11" s="1"/>
  <c r="J15" i="10"/>
  <c r="G13" i="10"/>
  <c r="J13" i="10" s="1"/>
  <c r="G12" i="10"/>
  <c r="J12" i="10" s="1"/>
  <c r="G11" i="10"/>
  <c r="J11" i="10" s="1"/>
  <c r="J15" i="6"/>
  <c r="J14" i="6"/>
  <c r="J15" i="11"/>
  <c r="J14" i="11"/>
  <c r="J12" i="11"/>
  <c r="I18" i="11"/>
  <c r="H18" i="11"/>
  <c r="J17" i="11"/>
  <c r="J16" i="11"/>
  <c r="I18" i="10"/>
  <c r="H18" i="10"/>
  <c r="G17" i="10"/>
  <c r="J17" i="10" s="1"/>
  <c r="J16" i="10"/>
  <c r="C12" i="10"/>
  <c r="C13" i="10" s="1"/>
  <c r="C14" i="10" s="1"/>
  <c r="C15" i="10" s="1"/>
  <c r="C16" i="10" s="1"/>
  <c r="C17" i="10" s="1"/>
  <c r="I4" i="10" s="1"/>
  <c r="J16" i="6"/>
  <c r="A3" i="1"/>
  <c r="A4" i="1" s="1"/>
  <c r="A5" i="1" s="1"/>
  <c r="A6" i="1" s="1"/>
  <c r="J13" i="6"/>
  <c r="J17" i="6"/>
  <c r="C12" i="6"/>
  <c r="C13" i="6" s="1"/>
  <c r="C14" i="6" s="1"/>
  <c r="C15" i="6" s="1"/>
  <c r="C16" i="6" s="1"/>
  <c r="C17" i="6" s="1"/>
  <c r="I4" i="6" s="1"/>
  <c r="I18" i="6"/>
  <c r="H18" i="6"/>
  <c r="G18" i="11" l="1"/>
  <c r="G18" i="12"/>
  <c r="J12" i="12"/>
  <c r="J18" i="12" s="1"/>
  <c r="J11" i="11"/>
  <c r="J18" i="11" s="1"/>
  <c r="G18" i="10"/>
  <c r="J18" i="10"/>
  <c r="J18" i="6"/>
  <c r="G18" i="6"/>
  <c r="C12" i="4" l="1"/>
  <c r="C13" i="4" s="1"/>
  <c r="C14" i="4" s="1"/>
  <c r="C15" i="4" s="1"/>
  <c r="C16" i="4" s="1"/>
  <c r="C17" i="4" s="1"/>
  <c r="I4" i="4" s="1"/>
  <c r="J13" i="4"/>
  <c r="J14" i="4"/>
  <c r="J15" i="4"/>
  <c r="G16" i="4"/>
  <c r="J16" i="4" s="1"/>
  <c r="G17" i="4"/>
  <c r="J17" i="4" s="1"/>
  <c r="H18" i="4"/>
  <c r="I18" i="4"/>
  <c r="J18" i="4" l="1"/>
  <c r="G18" i="4"/>
  <c r="B7" i="1" s="1"/>
</calcChain>
</file>

<file path=xl/sharedStrings.xml><?xml version="1.0" encoding="utf-8"?>
<sst xmlns="http://schemas.openxmlformats.org/spreadsheetml/2006/main" count="169" uniqueCount="32">
  <si>
    <t>Week Ending</t>
  </si>
  <si>
    <t>Total Hours</t>
  </si>
  <si>
    <t>Month Total:</t>
  </si>
  <si>
    <t>Date</t>
  </si>
  <si>
    <t>Manager signature</t>
  </si>
  <si>
    <t>Employee signature</t>
  </si>
  <si>
    <t>Total Hrs.</t>
  </si>
  <si>
    <t>Sunday</t>
  </si>
  <si>
    <t>Saturday</t>
  </si>
  <si>
    <t>Friday</t>
  </si>
  <si>
    <t>Thursday</t>
  </si>
  <si>
    <t>Wednesday</t>
  </si>
  <si>
    <t>Tuesday</t>
  </si>
  <si>
    <t>Monday</t>
  </si>
  <si>
    <t>Vacation Hrs. (nonbillable)</t>
  </si>
  <si>
    <t>Sick Hrs. (nonbillable)</t>
  </si>
  <si>
    <t>Regular (billable) Hrs.</t>
  </si>
  <si>
    <t>Time out (HH:MM)</t>
  </si>
  <si>
    <t>Out</t>
  </si>
  <si>
    <t>In</t>
  </si>
  <si>
    <t>Day</t>
  </si>
  <si>
    <t>Timesheets@ajace.com</t>
  </si>
  <si>
    <t>Phone:</t>
  </si>
  <si>
    <t>Chantilly, VA 20151</t>
  </si>
  <si>
    <t>14159A Robert Paris Court</t>
  </si>
  <si>
    <t>Weekly Time Record</t>
  </si>
  <si>
    <t>703-997-2941</t>
  </si>
  <si>
    <t>Sivasubramanian Selvaraj</t>
  </si>
  <si>
    <t>siva.sathish@gmail.com</t>
  </si>
  <si>
    <t>(347) 216 2572</t>
  </si>
  <si>
    <t>Sherril Tart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</si>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</sst>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\$* #,##0.00_);_(\$* \(#,##0.00\);_(\$* \-??_);_(@_)"/>
    <numFmt numFmtId="165" formatCode="\$#,##0.00_);&quot;($&quot;#,##0.00\)"/>
    <numFmt numFmtId="166" formatCode="[$-409]h:mm\ AM/PM;@"/>
    <numFmt numFmtId="167" formatCode="[&lt;=9999999]###\-####;\(###&quot;) &quot;###\-####"/>
  </numFmts>
  <fonts count="1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sz val="9"/>
      <color indexed="55"/>
      <name val="Century Gothic"/>
      <family val="2"/>
    </font>
    <font>
      <sz val="10"/>
      <color indexed="55"/>
      <name val="Century Gothic"/>
      <family val="2"/>
    </font>
    <font>
      <sz val="9"/>
      <name val="Century Gothic"/>
      <family val="2"/>
    </font>
    <font>
      <b/>
      <sz val="10"/>
      <name val="Century Gothic"/>
      <family val="2"/>
    </font>
    <font>
      <sz val="8"/>
      <name val="Century Gothic"/>
      <family val="2"/>
    </font>
    <font>
      <b/>
      <sz val="9"/>
      <name val="Century Gothic"/>
      <family val="2"/>
    </font>
    <font>
      <b/>
      <sz val="14"/>
      <name val="Century Gothic"/>
      <family val="2"/>
    </font>
    <font>
      <u/>
      <sz val="10"/>
      <color indexed="24"/>
      <name val="Arial"/>
      <family val="2"/>
    </font>
    <font>
      <b/>
      <sz val="22"/>
      <color indexed="63"/>
      <name val="Century Gothic"/>
      <family val="2"/>
    </font>
    <font>
      <b/>
      <sz val="22"/>
      <name val="Century Gothic"/>
      <family val="2"/>
    </font>
    <font>
      <b/>
      <sz val="22"/>
      <color indexed="22"/>
      <name val="Century Gothic"/>
      <family val="2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27"/>
      </patternFill>
    </fill>
    <fill>
      <patternFill patternType="solid">
        <fgColor indexed="31"/>
        <bgColor indexed="22"/>
      </patternFill>
    </fill>
    <fill>
      <patternFill patternType="solid">
        <fgColor indexed="26"/>
        <bgColor indexed="42"/>
      </patternFill>
    </fill>
    <fill>
      <patternFill patternType="solid">
        <fgColor indexed="27"/>
        <bgColor indexed="42"/>
      </patternFill>
    </fill>
    <fill>
      <patternFill patternType="solid">
        <fgColor theme="0" tint="-4.9989318521683403E-2"/>
        <bgColor indexed="22"/>
      </patternFill>
    </fill>
    <fill>
      <patternFill patternType="solid">
        <fgColor indexed="9"/>
        <bgColor indexed="26"/>
      </patternFill>
    </fill>
  </fills>
  <borders count="13">
    <border>
      <left/>
      <right/>
      <top/>
      <bottom/>
      <diagonal/>
    </border>
    <border>
      <left/>
      <right/>
      <top style="thin">
        <color indexed="55"/>
      </top>
      <bottom/>
      <diagonal/>
    </border>
    <border>
      <left/>
      <right/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ill="0" applyBorder="0" applyAlignment="0" applyProtection="0"/>
    <xf numFmtId="0" fontId="11" fillId="0" borderId="0" applyNumberFormat="0" applyFill="0" applyBorder="0" applyAlignment="0" applyProtection="0"/>
  </cellStyleXfs>
  <cellXfs count="71">
    <xf numFmtId="0" fontId="0" fillId="0" borderId="0" xfId="0"/>
    <xf numFmtId="0" fontId="3" fillId="0" borderId="0" xfId="1" applyFont="1" applyProtection="1">
      <protection locked="0"/>
    </xf>
    <xf numFmtId="0" fontId="4" fillId="0" borderId="1" xfId="1" applyFont="1" applyBorder="1" applyAlignment="1" applyProtection="1">
      <alignment horizontal="left" vertical="center"/>
      <protection locked="0"/>
    </xf>
    <xf numFmtId="0" fontId="5" fillId="0" borderId="0" xfId="1" applyFont="1" applyProtection="1">
      <protection locked="0"/>
    </xf>
    <xf numFmtId="0" fontId="4" fillId="0" borderId="1" xfId="1" applyFont="1" applyBorder="1" applyAlignment="1" applyProtection="1">
      <alignment vertical="center"/>
      <protection locked="0"/>
    </xf>
    <xf numFmtId="14" fontId="6" fillId="0" borderId="2" xfId="1" applyNumberFormat="1" applyFont="1" applyBorder="1" applyAlignment="1" applyProtection="1">
      <alignment horizontal="left"/>
      <protection locked="0"/>
    </xf>
    <xf numFmtId="0" fontId="3" fillId="0" borderId="2" xfId="1" applyFont="1" applyBorder="1" applyProtection="1">
      <protection locked="0"/>
    </xf>
    <xf numFmtId="2" fontId="3" fillId="0" borderId="0" xfId="1" applyNumberFormat="1" applyFont="1" applyAlignment="1" applyProtection="1">
      <alignment horizontal="left"/>
      <protection locked="0"/>
    </xf>
    <xf numFmtId="16" fontId="3" fillId="0" borderId="0" xfId="1" applyNumberFormat="1" applyFont="1" applyProtection="1">
      <protection locked="0"/>
    </xf>
    <xf numFmtId="43" fontId="7" fillId="0" borderId="0" xfId="1" applyNumberFormat="1" applyFont="1" applyProtection="1">
      <protection locked="0"/>
    </xf>
    <xf numFmtId="0" fontId="8" fillId="0" borderId="0" xfId="1" applyFont="1" applyAlignment="1" applyProtection="1">
      <alignment horizontal="left"/>
      <protection locked="0"/>
    </xf>
    <xf numFmtId="43" fontId="3" fillId="0" borderId="0" xfId="2" applyFont="1" applyAlignment="1" applyProtection="1">
      <alignment vertical="top"/>
      <protection locked="0"/>
    </xf>
    <xf numFmtId="0" fontId="3" fillId="0" borderId="0" xfId="1" applyFont="1" applyAlignment="1" applyProtection="1">
      <alignment vertical="top"/>
      <protection locked="0"/>
    </xf>
    <xf numFmtId="14" fontId="3" fillId="0" borderId="0" xfId="1" applyNumberFormat="1" applyFont="1" applyAlignment="1" applyProtection="1">
      <alignment vertical="top"/>
      <protection locked="0"/>
    </xf>
    <xf numFmtId="0" fontId="2" fillId="0" borderId="0" xfId="1"/>
    <xf numFmtId="2" fontId="3" fillId="0" borderId="0" xfId="1" applyNumberFormat="1" applyFont="1" applyAlignment="1" applyProtection="1">
      <alignment horizontal="left" vertical="top"/>
      <protection locked="0"/>
    </xf>
    <xf numFmtId="14" fontId="3" fillId="0" borderId="0" xfId="1" applyNumberFormat="1" applyFont="1" applyAlignment="1" applyProtection="1">
      <alignment horizontal="right" vertical="top"/>
      <protection locked="0"/>
    </xf>
    <xf numFmtId="2" fontId="8" fillId="2" borderId="3" xfId="3" applyNumberFormat="1" applyFont="1" applyFill="1" applyBorder="1" applyAlignment="1" applyProtection="1">
      <alignment horizontal="center" vertical="center"/>
    </xf>
    <xf numFmtId="165" fontId="8" fillId="2" borderId="3" xfId="3" applyNumberFormat="1" applyFont="1" applyFill="1" applyBorder="1" applyAlignment="1" applyProtection="1">
      <alignment horizontal="center" vertical="center"/>
    </xf>
    <xf numFmtId="0" fontId="9" fillId="3" borderId="3" xfId="1" applyFont="1" applyFill="1" applyBorder="1" applyAlignment="1" applyProtection="1">
      <alignment horizontal="left" vertical="center"/>
      <protection locked="0"/>
    </xf>
    <xf numFmtId="0" fontId="3" fillId="0" borderId="0" xfId="1" applyFont="1" applyAlignment="1" applyProtection="1">
      <alignment horizontal="left"/>
      <protection locked="0"/>
    </xf>
    <xf numFmtId="0" fontId="2" fillId="3" borderId="4" xfId="1" applyFill="1" applyBorder="1" applyProtection="1">
      <protection locked="0"/>
    </xf>
    <xf numFmtId="165" fontId="8" fillId="4" borderId="3" xfId="3" applyNumberFormat="1" applyFont="1" applyFill="1" applyBorder="1" applyAlignment="1" applyProtection="1">
      <alignment horizontal="center" vertical="center"/>
      <protection locked="0"/>
    </xf>
    <xf numFmtId="165" fontId="8" fillId="5" borderId="3" xfId="3" applyNumberFormat="1" applyFont="1" applyFill="1" applyBorder="1" applyAlignment="1" applyProtection="1">
      <alignment horizontal="center" vertical="center"/>
      <protection locked="0"/>
    </xf>
    <xf numFmtId="0" fontId="8" fillId="0" borderId="5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2" fontId="10" fillId="0" borderId="3" xfId="1" applyNumberFormat="1" applyFont="1" applyBorder="1" applyAlignment="1">
      <alignment horizontal="center" vertical="center"/>
    </xf>
    <xf numFmtId="0" fontId="9" fillId="0" borderId="3" xfId="1" applyFont="1" applyBorder="1" applyAlignment="1" applyProtection="1">
      <alignment horizontal="left" vertical="center"/>
      <protection locked="0"/>
    </xf>
    <xf numFmtId="2" fontId="3" fillId="0" borderId="0" xfId="1" applyNumberFormat="1" applyFont="1" applyProtection="1">
      <protection locked="0"/>
    </xf>
    <xf numFmtId="14" fontId="3" fillId="0" borderId="0" xfId="1" applyNumberFormat="1" applyFont="1" applyProtection="1">
      <protection locked="0"/>
    </xf>
    <xf numFmtId="0" fontId="8" fillId="0" borderId="5" xfId="1" applyFont="1" applyBorder="1" applyAlignment="1" applyProtection="1">
      <alignment horizontal="center" vertical="center"/>
      <protection locked="0"/>
    </xf>
    <xf numFmtId="0" fontId="8" fillId="0" borderId="3" xfId="1" applyFont="1" applyBorder="1" applyAlignment="1" applyProtection="1">
      <alignment horizontal="center" vertical="center"/>
      <protection locked="0"/>
    </xf>
    <xf numFmtId="2" fontId="8" fillId="0" borderId="3" xfId="1" applyNumberFormat="1" applyFont="1" applyBorder="1" applyAlignment="1">
      <alignment horizontal="center" vertical="center"/>
    </xf>
    <xf numFmtId="20" fontId="8" fillId="0" borderId="6" xfId="1" applyNumberFormat="1" applyFont="1" applyBorder="1" applyAlignment="1" applyProtection="1">
      <alignment horizontal="center" vertical="center"/>
      <protection locked="0"/>
    </xf>
    <xf numFmtId="166" fontId="8" fillId="0" borderId="3" xfId="1" applyNumberFormat="1" applyFont="1" applyBorder="1" applyAlignment="1" applyProtection="1">
      <alignment horizontal="center" vertical="center"/>
      <protection locked="0"/>
    </xf>
    <xf numFmtId="14" fontId="6" fillId="0" borderId="3" xfId="1" applyNumberFormat="1" applyFont="1" applyBorder="1" applyAlignment="1" applyProtection="1">
      <alignment horizontal="left" vertical="center"/>
      <protection locked="0"/>
    </xf>
    <xf numFmtId="0" fontId="8" fillId="0" borderId="7" xfId="1" applyFont="1" applyBorder="1" applyAlignment="1" applyProtection="1">
      <alignment horizontal="center" vertical="center"/>
      <protection locked="0"/>
    </xf>
    <xf numFmtId="14" fontId="6" fillId="0" borderId="4" xfId="1" applyNumberFormat="1" applyFont="1" applyBorder="1" applyAlignment="1" applyProtection="1">
      <alignment horizontal="left" vertical="center"/>
      <protection locked="0"/>
    </xf>
    <xf numFmtId="0" fontId="9" fillId="0" borderId="4" xfId="1" applyFont="1" applyBorder="1" applyAlignment="1" applyProtection="1">
      <alignment horizontal="left" vertical="center"/>
      <protection locked="0"/>
    </xf>
    <xf numFmtId="0" fontId="9" fillId="6" borderId="8" xfId="1" applyFont="1" applyFill="1" applyBorder="1" applyAlignment="1" applyProtection="1">
      <alignment horizontal="center" vertical="center"/>
      <protection locked="0"/>
    </xf>
    <xf numFmtId="0" fontId="9" fillId="6" borderId="3" xfId="1" applyFont="1" applyFill="1" applyBorder="1" applyAlignment="1" applyProtection="1">
      <alignment horizontal="center" vertical="center" wrapText="1"/>
      <protection locked="0"/>
    </xf>
    <xf numFmtId="0" fontId="9" fillId="6" borderId="5" xfId="1" applyFont="1" applyFill="1" applyBorder="1" applyAlignment="1" applyProtection="1">
      <alignment horizontal="center" vertical="center" wrapText="1"/>
      <protection locked="0"/>
    </xf>
    <xf numFmtId="0" fontId="9" fillId="6" borderId="3" xfId="1" applyFont="1" applyFill="1" applyBorder="1" applyAlignment="1" applyProtection="1">
      <alignment horizontal="center" vertical="center"/>
      <protection locked="0"/>
    </xf>
    <xf numFmtId="0" fontId="4" fillId="0" borderId="0" xfId="1" applyFont="1" applyAlignment="1" applyProtection="1">
      <alignment horizontal="left" indent="5"/>
      <protection locked="0"/>
    </xf>
    <xf numFmtId="0" fontId="4" fillId="0" borderId="0" xfId="1" applyFont="1" applyAlignment="1" applyProtection="1">
      <alignment horizontal="left"/>
      <protection locked="0"/>
    </xf>
    <xf numFmtId="0" fontId="6" fillId="0" borderId="0" xfId="4" applyNumberFormat="1" applyFont="1" applyFill="1" applyBorder="1" applyAlignment="1" applyProtection="1">
      <protection locked="0"/>
    </xf>
    <xf numFmtId="0" fontId="11" fillId="0" borderId="0" xfId="4" applyNumberFormat="1" applyFill="1" applyBorder="1" applyAlignment="1" applyProtection="1">
      <protection locked="0"/>
    </xf>
    <xf numFmtId="0" fontId="3" fillId="0" borderId="0" xfId="1" applyFont="1" applyAlignment="1" applyProtection="1">
      <alignment horizontal="left" indent="5"/>
      <protection locked="0"/>
    </xf>
    <xf numFmtId="0" fontId="4" fillId="0" borderId="0" xfId="1" applyFont="1" applyAlignment="1" applyProtection="1">
      <alignment horizontal="center"/>
      <protection locked="0"/>
    </xf>
    <xf numFmtId="0" fontId="12" fillId="7" borderId="0" xfId="1" applyFont="1" applyFill="1" applyAlignment="1" applyProtection="1">
      <alignment vertical="center"/>
      <protection locked="0"/>
    </xf>
    <xf numFmtId="0" fontId="14" fillId="0" borderId="0" xfId="1" applyFont="1" applyAlignment="1" applyProtection="1">
      <alignment horizontal="right"/>
      <protection locked="0"/>
    </xf>
    <xf numFmtId="0" fontId="8" fillId="0" borderId="4" xfId="1" applyFont="1" applyBorder="1" applyAlignment="1" applyProtection="1">
      <alignment horizontal="center" vertical="center"/>
      <protection locked="0"/>
    </xf>
    <xf numFmtId="0" fontId="1" fillId="0" borderId="9" xfId="0" applyFont="1" applyBorder="1"/>
    <xf numFmtId="16" fontId="0" fillId="0" borderId="9" xfId="0" applyNumberFormat="1" applyBorder="1"/>
    <xf numFmtId="2" fontId="0" fillId="0" borderId="9" xfId="0" applyNumberFormat="1" applyBorder="1"/>
    <xf numFmtId="2" fontId="1" fillId="0" borderId="9" xfId="0" applyNumberFormat="1" applyFont="1" applyBorder="1"/>
    <xf numFmtId="0" fontId="9" fillId="6" borderId="10" xfId="1" applyFont="1" applyFill="1" applyBorder="1" applyAlignment="1" applyProtection="1">
      <alignment horizontal="center" vertical="center"/>
      <protection locked="0"/>
    </xf>
    <xf numFmtId="2" fontId="3" fillId="0" borderId="9" xfId="1" applyNumberFormat="1" applyFont="1" applyBorder="1" applyAlignment="1" applyProtection="1">
      <alignment horizontal="center" vertical="center"/>
      <protection locked="0"/>
    </xf>
    <xf numFmtId="2" fontId="6" fillId="0" borderId="11" xfId="1" applyNumberFormat="1" applyFont="1" applyBorder="1" applyAlignment="1" applyProtection="1">
      <alignment horizontal="center" vertical="center"/>
      <protection locked="0"/>
    </xf>
    <xf numFmtId="2" fontId="6" fillId="0" borderId="12" xfId="1" applyNumberFormat="1" applyFont="1" applyBorder="1" applyAlignment="1" applyProtection="1">
      <alignment horizontal="center" vertical="center"/>
      <protection locked="0"/>
    </xf>
    <xf numFmtId="2" fontId="2" fillId="0" borderId="9" xfId="0" applyNumberFormat="1" applyFont="1" applyBorder="1"/>
    <xf numFmtId="0" fontId="15" fillId="0" borderId="9" xfId="0" applyFont="1" applyBorder="1"/>
    <xf numFmtId="0" fontId="6" fillId="0" borderId="2" xfId="1" applyFont="1" applyBorder="1" applyAlignment="1" applyProtection="1">
      <alignment horizontal="left"/>
      <protection locked="0"/>
    </xf>
    <xf numFmtId="0" fontId="6" fillId="0" borderId="0" xfId="1" applyFont="1" applyAlignment="1" applyProtection="1">
      <alignment horizontal="left"/>
      <protection locked="0"/>
    </xf>
    <xf numFmtId="0" fontId="11" fillId="0" borderId="0" xfId="4" applyFill="1" applyBorder="1" applyAlignment="1" applyProtection="1">
      <alignment horizontal="left"/>
      <protection locked="0"/>
    </xf>
    <xf numFmtId="167" fontId="6" fillId="0" borderId="0" xfId="1" applyNumberFormat="1" applyFont="1" applyAlignment="1" applyProtection="1">
      <alignment horizontal="left"/>
      <protection locked="0"/>
    </xf>
    <xf numFmtId="0" fontId="11" fillId="0" borderId="0" xfId="4" applyNumberFormat="1" applyFill="1" applyBorder="1" applyAlignment="1" applyProtection="1">
      <alignment horizontal="left"/>
      <protection locked="0"/>
    </xf>
    <xf numFmtId="0" fontId="6" fillId="0" borderId="0" xfId="4" applyNumberFormat="1" applyFont="1" applyFill="1" applyBorder="1" applyAlignment="1" applyProtection="1">
      <alignment horizontal="left"/>
      <protection locked="0"/>
    </xf>
    <xf numFmtId="0" fontId="13" fillId="7" borderId="0" xfId="1" applyFont="1" applyFill="1" applyAlignment="1" applyProtection="1">
      <alignment vertical="center"/>
      <protection locked="0"/>
    </xf>
    <xf numFmtId="0" fontId="4" fillId="0" borderId="0" xfId="1" applyFont="1" applyAlignment="1" applyProtection="1">
      <alignment horizontal="left"/>
      <protection locked="0"/>
    </xf>
    <xf numFmtId="14" fontId="6" fillId="0" borderId="2" xfId="1" applyNumberFormat="1" applyFont="1" applyBorder="1" applyAlignment="1" applyProtection="1">
      <alignment horizontal="left"/>
      <protection locked="0"/>
    </xf>
  </cellXfs>
  <cellStyles count="5">
    <cellStyle name="Comma 2" xfId="2" xr:uid="{00000000-0005-0000-0000-000000000000}"/>
    <cellStyle name="Currency 2" xfId="3" xr:uid="{00000000-0005-0000-0000-000001000000}"/>
    <cellStyle name="Hyperlink" xfId="4" builtinId="8"/>
    <cellStyle name="Normal" xfId="0" builtinId="0"/>
    <cellStyle name="Normal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54200" cy="457200"/>
    <xdr:pic>
      <xdr:nvPicPr>
        <xdr:cNvPr id="2" name="Picture 2">
          <a:extLst>
            <a:ext uri="{FF2B5EF4-FFF2-40B4-BE49-F238E27FC236}">
              <a16:creationId xmlns:a16="http://schemas.microsoft.com/office/drawing/2014/main" id="{74DA435C-8AAC-4A90-AEB5-27CE6257F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" y="0"/>
          <a:ext cx="1854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54200" cy="457200"/>
    <xdr:pic>
      <xdr:nvPicPr>
        <xdr:cNvPr id="2" name="Picture 2">
          <a:extLst>
            <a:ext uri="{FF2B5EF4-FFF2-40B4-BE49-F238E27FC236}">
              <a16:creationId xmlns:a16="http://schemas.microsoft.com/office/drawing/2014/main" id="{6F541132-2EA4-487A-AC1E-8C3E2D8C4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50" y="0"/>
          <a:ext cx="1854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63725" cy="4572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0"/>
          <a:ext cx="1863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54200" cy="457200"/>
    <xdr:pic>
      <xdr:nvPicPr>
        <xdr:cNvPr id="2" name="Picture 2">
          <a:extLst>
            <a:ext uri="{FF2B5EF4-FFF2-40B4-BE49-F238E27FC236}">
              <a16:creationId xmlns:a16="http://schemas.microsoft.com/office/drawing/2014/main" id="{7BA3C740-93B2-4DFA-A528-370F66BA7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" y="0"/>
          <a:ext cx="1854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54200" cy="4572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" y="0"/>
          <a:ext cx="1854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siva.sathish@gmail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siva.sathish@gmail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siva.sathish@gmail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siva.sathish@gmail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siva.sathish@gmail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10" sqref="B10"/>
    </sheetView>
  </sheetViews>
  <sheetFormatPr defaultRowHeight="14.5" x14ac:dyDescent="0.35"/>
  <cols>
    <col min="1" max="1" width="12.54296875" bestFit="1" customWidth="1"/>
    <col min="2" max="2" width="11.1796875" bestFit="1" customWidth="1"/>
    <col min="3" max="3" width="14.36328125" bestFit="1" customWidth="1"/>
  </cols>
  <sheetData>
    <row r="1" spans="1:3" x14ac:dyDescent="0.35">
      <c r="A1" s="52" t="s">
        <v>0</v>
      </c>
      <c r="B1" s="52" t="s">
        <v>1</v>
      </c>
      <c r="C1" s="52" t="s">
        <v>31</v>
      </c>
    </row>
    <row r="2" spans="1:3" x14ac:dyDescent="0.35">
      <c r="A2" s="53">
        <v>46117</v>
      </c>
      <c r="B2" s="60">
        <f>'we 04-05'!G18</f>
        <v>24</v>
      </c>
      <c r="C2" s="61"/>
    </row>
    <row r="3" spans="1:3" x14ac:dyDescent="0.35">
      <c r="A3" s="53">
        <f>A2+7</f>
        <v>46124</v>
      </c>
      <c r="B3" s="54">
        <f>'we 04-12'!G18</f>
        <v>40</v>
      </c>
      <c r="C3" s="61"/>
    </row>
    <row r="4" spans="1:3" x14ac:dyDescent="0.35">
      <c r="A4" s="53">
        <f t="shared" ref="A4:A6" si="0">A3+7</f>
        <v>46131</v>
      </c>
      <c r="B4" s="54">
        <f>'we 04-19'!G18</f>
        <v>40</v>
      </c>
      <c r="C4" s="61"/>
    </row>
    <row r="5" spans="1:3" x14ac:dyDescent="0.35">
      <c r="A5" s="53">
        <f t="shared" si="0"/>
        <v>46138</v>
      </c>
      <c r="B5" s="54">
        <f>'we 04-26'!G18</f>
        <v>40</v>
      </c>
      <c r="C5" s="61"/>
    </row>
    <row r="6" spans="1:3" x14ac:dyDescent="0.35">
      <c r="A6" s="53">
        <f t="shared" si="0"/>
        <v>46145</v>
      </c>
      <c r="B6" s="54">
        <f>'we 05-03'!G18</f>
        <v>32</v>
      </c>
      <c r="C6" s="61"/>
    </row>
    <row r="7" spans="1:3" x14ac:dyDescent="0.35">
      <c r="A7" s="52" t="s">
        <v>2</v>
      </c>
      <c r="B7" s="55">
        <f>SUM(B2:B6)</f>
        <v>176</v>
      </c>
      <c r="C7" s="6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E38B0-E35D-409A-93E1-15EC6482083D}">
  <sheetPr>
    <tabColor indexed="55"/>
    <pageSetUpPr fitToPage="1"/>
  </sheetPr>
  <dimension ref="B1:J25"/>
  <sheetViews>
    <sheetView showGridLines="0" showZeros="0" topLeftCell="A6" zoomScaleNormal="100" workbookViewId="0">
      <selection activeCell="J22" sqref="J22"/>
    </sheetView>
  </sheetViews>
  <sheetFormatPr defaultColWidth="9.08984375" defaultRowHeight="12.5" x14ac:dyDescent="0.25"/>
  <cols>
    <col min="1" max="1" width="2.08984375" style="1" customWidth="1"/>
    <col min="2" max="2" width="14.6328125" style="1" customWidth="1"/>
    <col min="3" max="3" width="13.6328125" style="1" customWidth="1"/>
    <col min="4" max="5" width="12.453125" style="1" customWidth="1"/>
    <col min="6" max="6" width="12.36328125" style="1" customWidth="1"/>
    <col min="7" max="9" width="12.453125" style="1" customWidth="1"/>
    <col min="10" max="10" width="12.54296875" style="1" customWidth="1"/>
    <col min="11" max="16384" width="9.08984375" style="1"/>
  </cols>
  <sheetData>
    <row r="1" spans="2:10" ht="34.5" customHeight="1" x14ac:dyDescent="0.5">
      <c r="J1" s="50" t="s">
        <v>25</v>
      </c>
    </row>
    <row r="2" spans="2:10" ht="31.5" customHeight="1" x14ac:dyDescent="0.25">
      <c r="B2" s="68"/>
      <c r="C2" s="68"/>
      <c r="D2" s="68"/>
      <c r="E2" s="68"/>
      <c r="F2" s="49"/>
    </row>
    <row r="3" spans="2:10" ht="14.25" customHeight="1" x14ac:dyDescent="0.25"/>
    <row r="4" spans="2:10" ht="17.149999999999999" customHeight="1" x14ac:dyDescent="0.25">
      <c r="B4" s="69" t="s">
        <v>24</v>
      </c>
      <c r="C4" s="69"/>
      <c r="D4" s="69"/>
      <c r="E4" s="69"/>
      <c r="H4" s="48" t="s">
        <v>0</v>
      </c>
      <c r="I4" s="70">
        <f>C17</f>
        <v>46117</v>
      </c>
      <c r="J4" s="70"/>
    </row>
    <row r="5" spans="2:10" ht="17.149999999999999" customHeight="1" x14ac:dyDescent="0.25">
      <c r="B5" s="69" t="s">
        <v>23</v>
      </c>
      <c r="C5" s="69"/>
      <c r="D5" s="69"/>
      <c r="E5" s="69"/>
      <c r="H5" s="47"/>
      <c r="I5" s="20"/>
      <c r="J5" s="20"/>
    </row>
    <row r="6" spans="2:10" ht="17.149999999999999" customHeight="1" x14ac:dyDescent="0.25">
      <c r="B6" s="69"/>
      <c r="C6" s="69"/>
      <c r="D6" s="69"/>
      <c r="E6" s="69"/>
      <c r="H6" s="43"/>
      <c r="I6" s="63" t="s">
        <v>27</v>
      </c>
      <c r="J6" s="63"/>
    </row>
    <row r="7" spans="2:10" ht="17.149999999999999" customHeight="1" x14ac:dyDescent="0.25">
      <c r="B7" s="44" t="s">
        <v>22</v>
      </c>
      <c r="C7" s="44" t="s">
        <v>26</v>
      </c>
      <c r="D7" s="63"/>
      <c r="E7" s="63"/>
      <c r="H7" s="43"/>
      <c r="I7" s="64" t="s">
        <v>28</v>
      </c>
      <c r="J7" s="63"/>
    </row>
    <row r="8" spans="2:10" ht="17.149999999999999" customHeight="1" x14ac:dyDescent="0.25">
      <c r="B8" s="46" t="s">
        <v>21</v>
      </c>
      <c r="C8" s="45"/>
      <c r="D8" s="63"/>
      <c r="E8" s="63"/>
      <c r="H8" s="43"/>
      <c r="I8" s="65" t="s">
        <v>29</v>
      </c>
      <c r="J8" s="65"/>
    </row>
    <row r="9" spans="2:10" ht="17.149999999999999" customHeight="1" x14ac:dyDescent="0.25">
      <c r="B9" s="44"/>
      <c r="C9" s="44"/>
      <c r="D9" s="63"/>
      <c r="E9" s="63"/>
      <c r="H9" s="43"/>
      <c r="I9" s="66"/>
      <c r="J9" s="67"/>
    </row>
    <row r="10" spans="2:10" ht="40.5" customHeight="1" x14ac:dyDescent="0.25">
      <c r="B10" s="42" t="s">
        <v>20</v>
      </c>
      <c r="C10" s="42" t="s">
        <v>3</v>
      </c>
      <c r="D10" s="42" t="s">
        <v>19</v>
      </c>
      <c r="E10" s="42" t="s">
        <v>18</v>
      </c>
      <c r="F10" s="41" t="s">
        <v>17</v>
      </c>
      <c r="G10" s="40" t="s">
        <v>16</v>
      </c>
      <c r="H10" s="40" t="s">
        <v>15</v>
      </c>
      <c r="I10" s="40" t="s">
        <v>14</v>
      </c>
      <c r="J10" s="56" t="s">
        <v>6</v>
      </c>
    </row>
    <row r="11" spans="2:10" ht="21" customHeight="1" x14ac:dyDescent="0.25">
      <c r="B11" s="27" t="s">
        <v>13</v>
      </c>
      <c r="C11" s="35">
        <v>46111</v>
      </c>
      <c r="D11" s="34"/>
      <c r="E11" s="34"/>
      <c r="F11" s="33"/>
      <c r="G11" s="32"/>
      <c r="H11" s="31"/>
      <c r="I11" s="30"/>
      <c r="J11" s="58">
        <f t="shared" ref="J11:J17" si="0">SUM(G11:I11)</f>
        <v>0</v>
      </c>
    </row>
    <row r="12" spans="2:10" ht="21" customHeight="1" x14ac:dyDescent="0.25">
      <c r="B12" s="27" t="s">
        <v>12</v>
      </c>
      <c r="C12" s="35">
        <f t="shared" ref="C12:C17" si="1">C11+1</f>
        <v>46112</v>
      </c>
      <c r="D12" s="34"/>
      <c r="E12" s="34"/>
      <c r="F12" s="33"/>
      <c r="G12" s="32"/>
      <c r="H12" s="31"/>
      <c r="I12" s="30"/>
      <c r="J12" s="59">
        <f t="shared" si="0"/>
        <v>0</v>
      </c>
    </row>
    <row r="13" spans="2:10" ht="21" customHeight="1" x14ac:dyDescent="0.25">
      <c r="B13" s="27" t="s">
        <v>11</v>
      </c>
      <c r="C13" s="35">
        <f t="shared" si="1"/>
        <v>46113</v>
      </c>
      <c r="D13" s="34">
        <v>0.33333333333333331</v>
      </c>
      <c r="E13" s="34">
        <v>0.66666666666666663</v>
      </c>
      <c r="F13" s="33"/>
      <c r="G13" s="32">
        <f>((E13-D13)-F13)*24</f>
        <v>8</v>
      </c>
      <c r="H13" s="31"/>
      <c r="I13" s="30"/>
      <c r="J13" s="59">
        <f t="shared" si="0"/>
        <v>8</v>
      </c>
    </row>
    <row r="14" spans="2:10" ht="21" customHeight="1" x14ac:dyDescent="0.25">
      <c r="B14" s="38" t="s">
        <v>10</v>
      </c>
      <c r="C14" s="37">
        <f t="shared" si="1"/>
        <v>46114</v>
      </c>
      <c r="D14" s="34">
        <v>0.33333333333333331</v>
      </c>
      <c r="E14" s="34">
        <v>0.66666666666666663</v>
      </c>
      <c r="F14" s="33"/>
      <c r="G14" s="32">
        <f>((E14-D14)-F14)*24</f>
        <v>8</v>
      </c>
      <c r="H14" s="31"/>
      <c r="I14" s="36"/>
      <c r="J14" s="59">
        <f t="shared" si="0"/>
        <v>8</v>
      </c>
    </row>
    <row r="15" spans="2:10" ht="21" customHeight="1" x14ac:dyDescent="0.25">
      <c r="B15" s="27" t="s">
        <v>9</v>
      </c>
      <c r="C15" s="35">
        <f t="shared" si="1"/>
        <v>46115</v>
      </c>
      <c r="D15" s="34">
        <v>0.3125</v>
      </c>
      <c r="E15" s="34">
        <v>0.66666666666666663</v>
      </c>
      <c r="F15" s="33">
        <v>2.0833333333333332E-2</v>
      </c>
      <c r="G15" s="32">
        <f>((E15-D15)-F15)*24</f>
        <v>8</v>
      </c>
      <c r="H15" s="31"/>
      <c r="I15" s="30"/>
      <c r="J15" s="59">
        <f t="shared" si="0"/>
        <v>8</v>
      </c>
    </row>
    <row r="16" spans="2:10" ht="21" customHeight="1" x14ac:dyDescent="0.25">
      <c r="B16" s="27" t="s">
        <v>8</v>
      </c>
      <c r="C16" s="35">
        <f t="shared" si="1"/>
        <v>46116</v>
      </c>
      <c r="D16" s="34"/>
      <c r="E16" s="34"/>
      <c r="F16" s="33"/>
      <c r="G16" s="32"/>
      <c r="H16" s="31"/>
      <c r="I16" s="30"/>
      <c r="J16" s="59">
        <f>SUM(G16:I16)</f>
        <v>0</v>
      </c>
    </row>
    <row r="17" spans="2:10" ht="21" customHeight="1" x14ac:dyDescent="0.25">
      <c r="B17" s="27" t="s">
        <v>7</v>
      </c>
      <c r="C17" s="35">
        <f t="shared" si="1"/>
        <v>46117</v>
      </c>
      <c r="D17" s="34"/>
      <c r="E17" s="34"/>
      <c r="F17" s="33"/>
      <c r="H17" s="31"/>
      <c r="I17" s="30"/>
      <c r="J17" s="59">
        <f t="shared" si="0"/>
        <v>0</v>
      </c>
    </row>
    <row r="18" spans="2:10" ht="21" customHeight="1" x14ac:dyDescent="0.25">
      <c r="B18" s="29"/>
      <c r="C18" s="28"/>
      <c r="D18" s="7"/>
      <c r="F18" s="27" t="s">
        <v>6</v>
      </c>
      <c r="G18" s="26">
        <f>SUM(G11:G16)</f>
        <v>24</v>
      </c>
      <c r="H18" s="25">
        <f>SUM(H11:H17)</f>
        <v>0</v>
      </c>
      <c r="I18" s="24">
        <f>SUM(I11:I17)</f>
        <v>0</v>
      </c>
      <c r="J18" s="57">
        <f>SUM(J11:J17)</f>
        <v>24</v>
      </c>
    </row>
    <row r="19" spans="2:10" ht="21" hidden="1" customHeight="1" x14ac:dyDescent="0.3">
      <c r="B19" s="10"/>
      <c r="C19" s="10"/>
      <c r="E19" s="10"/>
      <c r="F19" s="19"/>
      <c r="G19" s="23"/>
      <c r="H19" s="23"/>
      <c r="I19" s="22"/>
      <c r="J19" s="21"/>
    </row>
    <row r="20" spans="2:10" ht="21" hidden="1" customHeight="1" x14ac:dyDescent="0.25">
      <c r="C20" s="20"/>
      <c r="F20" s="19"/>
      <c r="G20" s="18"/>
      <c r="H20" s="18"/>
      <c r="I20" s="18"/>
      <c r="J20" s="17"/>
    </row>
    <row r="21" spans="2:10" x14ac:dyDescent="0.25">
      <c r="B21" s="16"/>
      <c r="C21" s="15"/>
      <c r="D21" s="14"/>
    </row>
    <row r="22" spans="2:10" ht="28.5" customHeight="1" x14ac:dyDescent="0.3">
      <c r="B22" s="13"/>
      <c r="C22" s="12"/>
      <c r="D22" s="11"/>
      <c r="E22" s="10"/>
      <c r="F22" s="62" t="s">
        <v>27</v>
      </c>
      <c r="G22" s="62"/>
      <c r="H22" s="62"/>
      <c r="I22" s="6"/>
      <c r="J22" s="5">
        <v>46143</v>
      </c>
    </row>
    <row r="23" spans="2:10" x14ac:dyDescent="0.25">
      <c r="D23" s="9"/>
      <c r="F23" s="4" t="s">
        <v>5</v>
      </c>
      <c r="G23" s="3"/>
      <c r="J23" s="2" t="s">
        <v>3</v>
      </c>
    </row>
    <row r="24" spans="2:10" ht="21" customHeight="1" x14ac:dyDescent="0.25">
      <c r="B24" s="8"/>
      <c r="C24" s="7"/>
      <c r="F24" s="62" t="s">
        <v>30</v>
      </c>
      <c r="G24" s="62"/>
      <c r="H24" s="62"/>
      <c r="I24" s="6"/>
      <c r="J24" s="5"/>
    </row>
    <row r="25" spans="2:10" x14ac:dyDescent="0.25">
      <c r="F25" s="4" t="s">
        <v>4</v>
      </c>
      <c r="G25" s="3"/>
      <c r="J25" s="2" t="s">
        <v>3</v>
      </c>
    </row>
  </sheetData>
  <sheetProtection selectLockedCells="1" selectUnlockedCells="1"/>
  <mergeCells count="14">
    <mergeCell ref="F22:H22"/>
    <mergeCell ref="F24:H24"/>
    <mergeCell ref="D7:E7"/>
    <mergeCell ref="I7:J7"/>
    <mergeCell ref="D8:E8"/>
    <mergeCell ref="I8:J8"/>
    <mergeCell ref="D9:E9"/>
    <mergeCell ref="I9:J9"/>
    <mergeCell ref="B2:E2"/>
    <mergeCell ref="B4:E4"/>
    <mergeCell ref="I4:J4"/>
    <mergeCell ref="B5:E5"/>
    <mergeCell ref="B6:E6"/>
    <mergeCell ref="I6:J6"/>
  </mergeCells>
  <dataValidations count="1">
    <dataValidation type="time" allowBlank="1" showErrorMessage="1" errorTitle="Invalid Entry" error="Please enter time in military time format between 0:00 and 23:59 (1:00, 8:00, 13:00, 20:00, etc.)." sqref="D11:E17" xr:uid="{2300AA2B-A77D-4084-AFED-F58D46D09F61}">
      <formula1>0</formula1>
      <formula2>0.999305555555556</formula2>
    </dataValidation>
  </dataValidations>
  <hyperlinks>
    <hyperlink ref="B8" r:id="rId1" xr:uid="{870808CB-D2C6-492F-BE92-7666D931B6FC}"/>
    <hyperlink ref="I7" r:id="rId2" xr:uid="{5350373B-FA50-45A4-811E-571DFD1C62FC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09EC8-0789-4118-BF31-DD035EA721BD}">
  <sheetPr>
    <tabColor indexed="55"/>
    <pageSetUpPr fitToPage="1"/>
  </sheetPr>
  <dimension ref="B1:J25"/>
  <sheetViews>
    <sheetView showGridLines="0" showZeros="0" zoomScaleNormal="100" workbookViewId="0">
      <selection activeCell="J22" sqref="J22"/>
    </sheetView>
  </sheetViews>
  <sheetFormatPr defaultColWidth="9.08984375" defaultRowHeight="12.5" x14ac:dyDescent="0.25"/>
  <cols>
    <col min="1" max="1" width="2.08984375" style="1" customWidth="1"/>
    <col min="2" max="2" width="14.6328125" style="1" customWidth="1"/>
    <col min="3" max="3" width="13.6328125" style="1" customWidth="1"/>
    <col min="4" max="5" width="12.453125" style="1" customWidth="1"/>
    <col min="6" max="6" width="12.36328125" style="1" customWidth="1"/>
    <col min="7" max="9" width="12.453125" style="1" customWidth="1"/>
    <col min="10" max="10" width="12.54296875" style="1" customWidth="1"/>
    <col min="11" max="16384" width="9.08984375" style="1"/>
  </cols>
  <sheetData>
    <row r="1" spans="2:10" ht="34.5" customHeight="1" x14ac:dyDescent="0.5">
      <c r="J1" s="50" t="s">
        <v>25</v>
      </c>
    </row>
    <row r="2" spans="2:10" ht="31.5" customHeight="1" x14ac:dyDescent="0.25">
      <c r="B2" s="68"/>
      <c r="C2" s="68"/>
      <c r="D2" s="68"/>
      <c r="E2" s="68"/>
      <c r="F2" s="49"/>
    </row>
    <row r="3" spans="2:10" ht="14.25" customHeight="1" x14ac:dyDescent="0.25"/>
    <row r="4" spans="2:10" ht="17.149999999999999" customHeight="1" x14ac:dyDescent="0.25">
      <c r="B4" s="69" t="s">
        <v>24</v>
      </c>
      <c r="C4" s="69"/>
      <c r="D4" s="69"/>
      <c r="E4" s="69"/>
      <c r="H4" s="48" t="s">
        <v>0</v>
      </c>
      <c r="I4" s="70">
        <f>C17</f>
        <v>46124</v>
      </c>
      <c r="J4" s="70"/>
    </row>
    <row r="5" spans="2:10" ht="17.149999999999999" customHeight="1" x14ac:dyDescent="0.25">
      <c r="B5" s="69" t="s">
        <v>23</v>
      </c>
      <c r="C5" s="69"/>
      <c r="D5" s="69"/>
      <c r="E5" s="69"/>
      <c r="H5" s="47"/>
      <c r="I5" s="20"/>
      <c r="J5" s="20"/>
    </row>
    <row r="6" spans="2:10" ht="17.149999999999999" customHeight="1" x14ac:dyDescent="0.25">
      <c r="B6" s="69"/>
      <c r="C6" s="69"/>
      <c r="D6" s="69"/>
      <c r="E6" s="69"/>
      <c r="H6" s="43"/>
      <c r="I6" s="63" t="s">
        <v>27</v>
      </c>
      <c r="J6" s="63"/>
    </row>
    <row r="7" spans="2:10" ht="17.149999999999999" customHeight="1" x14ac:dyDescent="0.25">
      <c r="B7" s="44" t="s">
        <v>22</v>
      </c>
      <c r="C7" s="44" t="s">
        <v>26</v>
      </c>
      <c r="D7" s="63"/>
      <c r="E7" s="63"/>
      <c r="H7" s="43"/>
      <c r="I7" s="64" t="s">
        <v>28</v>
      </c>
      <c r="J7" s="63"/>
    </row>
    <row r="8" spans="2:10" ht="17.149999999999999" customHeight="1" x14ac:dyDescent="0.25">
      <c r="B8" s="46" t="s">
        <v>21</v>
      </c>
      <c r="C8" s="45"/>
      <c r="D8" s="63"/>
      <c r="E8" s="63"/>
      <c r="H8" s="43"/>
      <c r="I8" s="65" t="s">
        <v>29</v>
      </c>
      <c r="J8" s="65"/>
    </row>
    <row r="9" spans="2:10" ht="17.149999999999999" customHeight="1" x14ac:dyDescent="0.25">
      <c r="B9" s="44"/>
      <c r="C9" s="44"/>
      <c r="D9" s="63"/>
      <c r="E9" s="63"/>
      <c r="H9" s="43"/>
      <c r="I9" s="66"/>
      <c r="J9" s="67"/>
    </row>
    <row r="10" spans="2:10" ht="40.5" customHeight="1" x14ac:dyDescent="0.25">
      <c r="B10" s="42" t="s">
        <v>20</v>
      </c>
      <c r="C10" s="42" t="s">
        <v>3</v>
      </c>
      <c r="D10" s="42" t="s">
        <v>19</v>
      </c>
      <c r="E10" s="42" t="s">
        <v>18</v>
      </c>
      <c r="F10" s="41" t="s">
        <v>17</v>
      </c>
      <c r="G10" s="40" t="s">
        <v>16</v>
      </c>
      <c r="H10" s="40" t="s">
        <v>15</v>
      </c>
      <c r="I10" s="40" t="s">
        <v>14</v>
      </c>
      <c r="J10" s="39" t="s">
        <v>6</v>
      </c>
    </row>
    <row r="11" spans="2:10" ht="21" customHeight="1" x14ac:dyDescent="0.25">
      <c r="B11" s="27" t="s">
        <v>13</v>
      </c>
      <c r="C11" s="35">
        <v>46118</v>
      </c>
      <c r="D11" s="34">
        <v>0.3125</v>
      </c>
      <c r="E11" s="34">
        <v>0.66666666666666663</v>
      </c>
      <c r="F11" s="33">
        <v>2.0833333333333332E-2</v>
      </c>
      <c r="G11" s="32">
        <f>((E11-D11)-F11)*24</f>
        <v>8</v>
      </c>
      <c r="H11" s="31"/>
      <c r="I11" s="30"/>
      <c r="J11" s="58">
        <f t="shared" ref="J11:J17" si="0">SUM(G11:I11)</f>
        <v>8</v>
      </c>
    </row>
    <row r="12" spans="2:10" ht="21" customHeight="1" x14ac:dyDescent="0.25">
      <c r="B12" s="27" t="s">
        <v>12</v>
      </c>
      <c r="C12" s="35">
        <f t="shared" ref="C12:C17" si="1">C11+1</f>
        <v>46119</v>
      </c>
      <c r="D12" s="34">
        <v>0.3125</v>
      </c>
      <c r="E12" s="34">
        <v>0.66666666666666663</v>
      </c>
      <c r="F12" s="33">
        <v>2.0833333333333332E-2</v>
      </c>
      <c r="G12" s="32">
        <f>((E12-D12)-F12)*24</f>
        <v>8</v>
      </c>
      <c r="H12" s="31"/>
      <c r="I12" s="30"/>
      <c r="J12" s="59">
        <f t="shared" si="0"/>
        <v>8</v>
      </c>
    </row>
    <row r="13" spans="2:10" ht="21" customHeight="1" x14ac:dyDescent="0.25">
      <c r="B13" s="27" t="s">
        <v>11</v>
      </c>
      <c r="C13" s="35">
        <f t="shared" si="1"/>
        <v>46120</v>
      </c>
      <c r="D13" s="34">
        <v>0.33333333333333331</v>
      </c>
      <c r="E13" s="34">
        <v>0.66666666666666663</v>
      </c>
      <c r="F13" s="33"/>
      <c r="G13" s="32">
        <f>((E13-D13)-F13)*24</f>
        <v>8</v>
      </c>
      <c r="H13" s="31"/>
      <c r="I13" s="30"/>
      <c r="J13" s="59">
        <f t="shared" si="0"/>
        <v>8</v>
      </c>
    </row>
    <row r="14" spans="2:10" ht="21" customHeight="1" x14ac:dyDescent="0.25">
      <c r="B14" s="38" t="s">
        <v>10</v>
      </c>
      <c r="C14" s="37">
        <f t="shared" si="1"/>
        <v>46121</v>
      </c>
      <c r="D14" s="34">
        <v>0.33333333333333331</v>
      </c>
      <c r="E14" s="34">
        <v>0.66666666666666663</v>
      </c>
      <c r="F14" s="33"/>
      <c r="G14" s="32">
        <f>((E14-D14)-F14)*24</f>
        <v>8</v>
      </c>
      <c r="H14" s="31"/>
      <c r="I14" s="36"/>
      <c r="J14" s="59">
        <f t="shared" si="0"/>
        <v>8</v>
      </c>
    </row>
    <row r="15" spans="2:10" ht="21" customHeight="1" x14ac:dyDescent="0.25">
      <c r="B15" s="27" t="s">
        <v>9</v>
      </c>
      <c r="C15" s="35">
        <f t="shared" si="1"/>
        <v>46122</v>
      </c>
      <c r="D15" s="34">
        <v>0.3125</v>
      </c>
      <c r="E15" s="34">
        <v>0.66666666666666663</v>
      </c>
      <c r="F15" s="33">
        <v>2.0833333333333332E-2</v>
      </c>
      <c r="G15" s="32">
        <f>((E15-D15)-F15)*24</f>
        <v>8</v>
      </c>
      <c r="H15" s="31"/>
      <c r="I15" s="30"/>
      <c r="J15" s="59">
        <f t="shared" si="0"/>
        <v>8</v>
      </c>
    </row>
    <row r="16" spans="2:10" ht="21" customHeight="1" x14ac:dyDescent="0.25">
      <c r="B16" s="27" t="s">
        <v>8</v>
      </c>
      <c r="C16" s="35">
        <f t="shared" si="1"/>
        <v>46123</v>
      </c>
      <c r="D16" s="34"/>
      <c r="E16" s="34"/>
      <c r="F16" s="33"/>
      <c r="G16" s="32"/>
      <c r="H16" s="31"/>
      <c r="I16" s="30"/>
      <c r="J16" s="59">
        <f t="shared" si="0"/>
        <v>0</v>
      </c>
    </row>
    <row r="17" spans="2:10" ht="21" customHeight="1" x14ac:dyDescent="0.25">
      <c r="B17" s="27" t="s">
        <v>7</v>
      </c>
      <c r="C17" s="35">
        <f t="shared" si="1"/>
        <v>46124</v>
      </c>
      <c r="D17" s="34"/>
      <c r="E17" s="34"/>
      <c r="F17" s="33"/>
      <c r="G17" s="32">
        <f t="shared" ref="G17" si="2">((E17-D17)-F17)*24</f>
        <v>0</v>
      </c>
      <c r="H17" s="31"/>
      <c r="I17" s="30"/>
      <c r="J17" s="59">
        <f t="shared" si="0"/>
        <v>0</v>
      </c>
    </row>
    <row r="18" spans="2:10" ht="21" customHeight="1" x14ac:dyDescent="0.25">
      <c r="B18" s="29"/>
      <c r="C18" s="28"/>
      <c r="D18" s="7"/>
      <c r="F18" s="27" t="s">
        <v>6</v>
      </c>
      <c r="G18" s="26">
        <f>SUM(G11:G17)</f>
        <v>40</v>
      </c>
      <c r="H18" s="25">
        <f>SUM(H11:H17)</f>
        <v>0</v>
      </c>
      <c r="I18" s="24">
        <f>SUM(I11:I17)</f>
        <v>0</v>
      </c>
      <c r="J18" s="57">
        <f>SUM(J11:J17)</f>
        <v>40</v>
      </c>
    </row>
    <row r="19" spans="2:10" ht="21" hidden="1" customHeight="1" x14ac:dyDescent="0.3">
      <c r="B19" s="10"/>
      <c r="C19" s="10"/>
      <c r="E19" s="10"/>
      <c r="F19" s="19"/>
      <c r="G19" s="23"/>
      <c r="H19" s="23"/>
      <c r="I19" s="22"/>
      <c r="J19" s="21"/>
    </row>
    <row r="20" spans="2:10" ht="21" hidden="1" customHeight="1" x14ac:dyDescent="0.25">
      <c r="C20" s="20"/>
      <c r="F20" s="19"/>
      <c r="G20" s="18"/>
      <c r="H20" s="18"/>
      <c r="I20" s="18"/>
      <c r="J20" s="17"/>
    </row>
    <row r="21" spans="2:10" x14ac:dyDescent="0.25">
      <c r="B21" s="16"/>
      <c r="C21" s="15"/>
      <c r="D21" s="14"/>
    </row>
    <row r="22" spans="2:10" ht="28.5" customHeight="1" x14ac:dyDescent="0.3">
      <c r="B22" s="13"/>
      <c r="C22" s="12"/>
      <c r="D22" s="11"/>
      <c r="E22" s="10"/>
      <c r="F22" s="62" t="s">
        <v>27</v>
      </c>
      <c r="G22" s="62"/>
      <c r="H22" s="62"/>
      <c r="I22" s="6"/>
      <c r="J22" s="5">
        <v>46143</v>
      </c>
    </row>
    <row r="23" spans="2:10" x14ac:dyDescent="0.25">
      <c r="D23" s="9"/>
      <c r="F23" s="4" t="s">
        <v>5</v>
      </c>
      <c r="G23" s="3"/>
      <c r="J23" s="2" t="s">
        <v>3</v>
      </c>
    </row>
    <row r="24" spans="2:10" ht="21" customHeight="1" x14ac:dyDescent="0.25">
      <c r="B24" s="8"/>
      <c r="C24" s="7"/>
      <c r="F24" s="62" t="s">
        <v>30</v>
      </c>
      <c r="G24" s="62"/>
      <c r="H24" s="62"/>
      <c r="I24" s="6"/>
      <c r="J24" s="5"/>
    </row>
    <row r="25" spans="2:10" x14ac:dyDescent="0.25">
      <c r="F25" s="4" t="s">
        <v>4</v>
      </c>
      <c r="G25" s="3"/>
      <c r="J25" s="2" t="s">
        <v>3</v>
      </c>
    </row>
  </sheetData>
  <sheetProtection selectLockedCells="1" selectUnlockedCells="1"/>
  <mergeCells count="14">
    <mergeCell ref="B2:E2"/>
    <mergeCell ref="B4:E4"/>
    <mergeCell ref="I4:J4"/>
    <mergeCell ref="B5:E5"/>
    <mergeCell ref="B6:E6"/>
    <mergeCell ref="I6:J6"/>
    <mergeCell ref="F22:H22"/>
    <mergeCell ref="F24:H24"/>
    <mergeCell ref="D7:E7"/>
    <mergeCell ref="I7:J7"/>
    <mergeCell ref="D8:E8"/>
    <mergeCell ref="I8:J8"/>
    <mergeCell ref="D9:E9"/>
    <mergeCell ref="I9:J9"/>
  </mergeCells>
  <dataValidations count="1">
    <dataValidation type="time" allowBlank="1" showErrorMessage="1" errorTitle="Invalid Entry" error="Please enter time in military time format between 0:00 and 23:59 (1:00, 8:00, 13:00, 20:00, etc.)." sqref="D11:E17" xr:uid="{F642DAE3-0B57-4CD7-B5EE-C9A0274448E2}">
      <formula1>0</formula1>
      <formula2>0.999305555555556</formula2>
    </dataValidation>
  </dataValidations>
  <hyperlinks>
    <hyperlink ref="B8" r:id="rId1" xr:uid="{B1D56F4B-0B1A-44F3-B357-983249F16271}"/>
    <hyperlink ref="I7" r:id="rId2" xr:uid="{595C59C6-59DB-47B4-A9F7-7C60A46C8C19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55"/>
    <pageSetUpPr fitToPage="1"/>
  </sheetPr>
  <dimension ref="B1:J25"/>
  <sheetViews>
    <sheetView showGridLines="0" showZeros="0" topLeftCell="A6" zoomScaleNormal="100" workbookViewId="0">
      <selection activeCell="J22" sqref="J22"/>
    </sheetView>
  </sheetViews>
  <sheetFormatPr defaultColWidth="9.08984375" defaultRowHeight="12.5" x14ac:dyDescent="0.25"/>
  <cols>
    <col min="1" max="1" width="2.08984375" style="1" customWidth="1"/>
    <col min="2" max="2" width="14.6328125" style="1" customWidth="1"/>
    <col min="3" max="3" width="13.6328125" style="1" customWidth="1"/>
    <col min="4" max="5" width="12.453125" style="1" customWidth="1"/>
    <col min="6" max="6" width="12.36328125" style="1" customWidth="1"/>
    <col min="7" max="9" width="12.453125" style="1" customWidth="1"/>
    <col min="10" max="10" width="12.54296875" style="1" customWidth="1"/>
    <col min="11" max="16384" width="9.08984375" style="1"/>
  </cols>
  <sheetData>
    <row r="1" spans="2:10" ht="34.5" customHeight="1" x14ac:dyDescent="0.5">
      <c r="J1" s="50" t="s">
        <v>25</v>
      </c>
    </row>
    <row r="2" spans="2:10" ht="31.5" customHeight="1" x14ac:dyDescent="0.25">
      <c r="B2" s="68"/>
      <c r="C2" s="68"/>
      <c r="D2" s="68"/>
      <c r="E2" s="68"/>
      <c r="F2" s="49"/>
    </row>
    <row r="3" spans="2:10" ht="14.25" customHeight="1" x14ac:dyDescent="0.25"/>
    <row r="4" spans="2:10" ht="17.149999999999999" customHeight="1" x14ac:dyDescent="0.25">
      <c r="B4" s="69" t="s">
        <v>24</v>
      </c>
      <c r="C4" s="69"/>
      <c r="D4" s="69"/>
      <c r="E4" s="69"/>
      <c r="H4" s="48" t="s">
        <v>0</v>
      </c>
      <c r="I4" s="70">
        <f>C17</f>
        <v>46131</v>
      </c>
      <c r="J4" s="70"/>
    </row>
    <row r="5" spans="2:10" ht="17.149999999999999" customHeight="1" x14ac:dyDescent="0.25">
      <c r="B5" s="69" t="s">
        <v>23</v>
      </c>
      <c r="C5" s="69"/>
      <c r="D5" s="69"/>
      <c r="E5" s="69"/>
      <c r="H5" s="47"/>
      <c r="I5" s="20"/>
      <c r="J5" s="20"/>
    </row>
    <row r="6" spans="2:10" ht="17.149999999999999" customHeight="1" x14ac:dyDescent="0.25">
      <c r="B6" s="69"/>
      <c r="C6" s="69"/>
      <c r="D6" s="69"/>
      <c r="E6" s="69"/>
      <c r="H6" s="43"/>
      <c r="I6" s="63" t="s">
        <v>27</v>
      </c>
      <c r="J6" s="63"/>
    </row>
    <row r="7" spans="2:10" ht="17.149999999999999" customHeight="1" x14ac:dyDescent="0.25">
      <c r="B7" s="44" t="s">
        <v>22</v>
      </c>
      <c r="C7" s="44" t="s">
        <v>26</v>
      </c>
      <c r="D7" s="63"/>
      <c r="E7" s="63"/>
      <c r="H7" s="43"/>
      <c r="I7" s="64" t="s">
        <v>28</v>
      </c>
      <c r="J7" s="63"/>
    </row>
    <row r="8" spans="2:10" ht="17.149999999999999" customHeight="1" x14ac:dyDescent="0.25">
      <c r="B8" s="46" t="s">
        <v>21</v>
      </c>
      <c r="C8" s="45"/>
      <c r="D8" s="63"/>
      <c r="E8" s="63"/>
      <c r="H8" s="43"/>
      <c r="I8" s="65" t="s">
        <v>29</v>
      </c>
      <c r="J8" s="65"/>
    </row>
    <row r="9" spans="2:10" ht="17.149999999999999" customHeight="1" x14ac:dyDescent="0.25">
      <c r="B9" s="44"/>
      <c r="C9" s="44"/>
      <c r="D9" s="63"/>
      <c r="E9" s="63"/>
      <c r="H9" s="43"/>
      <c r="I9" s="66"/>
      <c r="J9" s="67"/>
    </row>
    <row r="10" spans="2:10" ht="40.5" customHeight="1" x14ac:dyDescent="0.25">
      <c r="B10" s="42" t="s">
        <v>20</v>
      </c>
      <c r="C10" s="42" t="s">
        <v>3</v>
      </c>
      <c r="D10" s="42" t="s">
        <v>19</v>
      </c>
      <c r="E10" s="42" t="s">
        <v>18</v>
      </c>
      <c r="F10" s="41" t="s">
        <v>17</v>
      </c>
      <c r="G10" s="40" t="s">
        <v>16</v>
      </c>
      <c r="H10" s="40" t="s">
        <v>15</v>
      </c>
      <c r="I10" s="40" t="s">
        <v>14</v>
      </c>
      <c r="J10" s="39" t="s">
        <v>6</v>
      </c>
    </row>
    <row r="11" spans="2:10" ht="21" customHeight="1" x14ac:dyDescent="0.25">
      <c r="B11" s="27" t="s">
        <v>13</v>
      </c>
      <c r="C11" s="35">
        <v>46125</v>
      </c>
      <c r="D11" s="34">
        <v>0.3125</v>
      </c>
      <c r="E11" s="34">
        <v>0.66666666666666663</v>
      </c>
      <c r="F11" s="33">
        <v>2.0833333333333332E-2</v>
      </c>
      <c r="G11" s="32">
        <f>((E11-D11)-F11)*24</f>
        <v>8</v>
      </c>
      <c r="H11" s="31"/>
      <c r="I11" s="30"/>
      <c r="J11" s="58">
        <f t="shared" ref="J11:J12" si="0">SUM(G11:I11)</f>
        <v>8</v>
      </c>
    </row>
    <row r="12" spans="2:10" ht="21" customHeight="1" x14ac:dyDescent="0.25">
      <c r="B12" s="27" t="s">
        <v>12</v>
      </c>
      <c r="C12" s="35">
        <f t="shared" ref="C12:C17" si="1">C11+1</f>
        <v>46126</v>
      </c>
      <c r="D12" s="34">
        <v>0.3125</v>
      </c>
      <c r="E12" s="34">
        <v>0.66666666666666663</v>
      </c>
      <c r="F12" s="33">
        <v>2.0833333333333332E-2</v>
      </c>
      <c r="G12" s="32">
        <f>((E12-D12)-F12)*24</f>
        <v>8</v>
      </c>
      <c r="H12" s="31"/>
      <c r="I12" s="30"/>
      <c r="J12" s="58">
        <f t="shared" si="0"/>
        <v>8</v>
      </c>
    </row>
    <row r="13" spans="2:10" ht="21" customHeight="1" x14ac:dyDescent="0.25">
      <c r="B13" s="27" t="s">
        <v>11</v>
      </c>
      <c r="C13" s="35">
        <f t="shared" si="1"/>
        <v>46127</v>
      </c>
      <c r="D13" s="34">
        <v>0.33333333333333331</v>
      </c>
      <c r="E13" s="34">
        <v>0.66666666666666663</v>
      </c>
      <c r="F13" s="33"/>
      <c r="G13" s="32">
        <f>((E13-D13)-F13)*24</f>
        <v>8</v>
      </c>
      <c r="H13" s="31"/>
      <c r="I13" s="30"/>
      <c r="J13" s="59">
        <f t="shared" ref="J13:J17" si="2">SUM(G13:I13)</f>
        <v>8</v>
      </c>
    </row>
    <row r="14" spans="2:10" ht="21" customHeight="1" x14ac:dyDescent="0.25">
      <c r="B14" s="38" t="s">
        <v>10</v>
      </c>
      <c r="C14" s="37">
        <f t="shared" si="1"/>
        <v>46128</v>
      </c>
      <c r="D14" s="34">
        <v>0.33333333333333331</v>
      </c>
      <c r="E14" s="34">
        <v>0.66666666666666663</v>
      </c>
      <c r="F14" s="33"/>
      <c r="G14" s="32">
        <f>((E14-D14)-F14)*24</f>
        <v>8</v>
      </c>
      <c r="H14" s="51"/>
      <c r="I14" s="36"/>
      <c r="J14" s="59">
        <f t="shared" si="2"/>
        <v>8</v>
      </c>
    </row>
    <row r="15" spans="2:10" ht="21" customHeight="1" x14ac:dyDescent="0.25">
      <c r="B15" s="27" t="s">
        <v>9</v>
      </c>
      <c r="C15" s="35">
        <f t="shared" si="1"/>
        <v>46129</v>
      </c>
      <c r="D15" s="34">
        <v>0.3125</v>
      </c>
      <c r="E15" s="34">
        <v>0.66666666666666663</v>
      </c>
      <c r="F15" s="33">
        <v>2.0833333333333332E-2</v>
      </c>
      <c r="G15" s="32">
        <f>((E15-D15)-F15)*24</f>
        <v>8</v>
      </c>
      <c r="H15" s="31"/>
      <c r="I15" s="30"/>
      <c r="J15" s="59">
        <f t="shared" si="2"/>
        <v>8</v>
      </c>
    </row>
    <row r="16" spans="2:10" ht="21" customHeight="1" x14ac:dyDescent="0.25">
      <c r="B16" s="27" t="s">
        <v>8</v>
      </c>
      <c r="C16" s="35">
        <f t="shared" si="1"/>
        <v>46130</v>
      </c>
      <c r="D16" s="34"/>
      <c r="E16" s="34"/>
      <c r="F16" s="33"/>
      <c r="G16" s="32">
        <f t="shared" ref="G16:G17" si="3">((E16-D16)-F16)*24</f>
        <v>0</v>
      </c>
      <c r="H16" s="31"/>
      <c r="I16" s="30"/>
      <c r="J16" s="59">
        <f t="shared" si="2"/>
        <v>0</v>
      </c>
    </row>
    <row r="17" spans="2:10" ht="21" customHeight="1" x14ac:dyDescent="0.25">
      <c r="B17" s="27" t="s">
        <v>7</v>
      </c>
      <c r="C17" s="35">
        <f t="shared" si="1"/>
        <v>46131</v>
      </c>
      <c r="D17" s="34"/>
      <c r="E17" s="34"/>
      <c r="F17" s="33"/>
      <c r="G17" s="32">
        <f t="shared" si="3"/>
        <v>0</v>
      </c>
      <c r="H17" s="31"/>
      <c r="I17" s="30"/>
      <c r="J17" s="59">
        <f t="shared" si="2"/>
        <v>0</v>
      </c>
    </row>
    <row r="18" spans="2:10" ht="21" customHeight="1" x14ac:dyDescent="0.25">
      <c r="B18" s="29"/>
      <c r="C18" s="28"/>
      <c r="D18" s="7"/>
      <c r="F18" s="27" t="s">
        <v>6</v>
      </c>
      <c r="G18" s="26">
        <f>SUM(G11:G17)</f>
        <v>40</v>
      </c>
      <c r="H18" s="25">
        <f>SUM(H11:H17)</f>
        <v>0</v>
      </c>
      <c r="I18" s="24">
        <f>SUM(I11:I17)</f>
        <v>0</v>
      </c>
      <c r="J18" s="57">
        <f>SUM(J11:J17)</f>
        <v>40</v>
      </c>
    </row>
    <row r="19" spans="2:10" ht="21" hidden="1" customHeight="1" x14ac:dyDescent="0.3">
      <c r="B19" s="10"/>
      <c r="C19" s="10"/>
      <c r="E19" s="10"/>
      <c r="F19" s="19"/>
      <c r="G19" s="23"/>
      <c r="H19" s="23"/>
      <c r="I19" s="22"/>
      <c r="J19" s="21"/>
    </row>
    <row r="20" spans="2:10" ht="21" hidden="1" customHeight="1" x14ac:dyDescent="0.25">
      <c r="C20" s="20"/>
      <c r="F20" s="19"/>
      <c r="G20" s="18"/>
      <c r="H20" s="18"/>
      <c r="I20" s="18"/>
      <c r="J20" s="17"/>
    </row>
    <row r="21" spans="2:10" x14ac:dyDescent="0.25">
      <c r="B21" s="16"/>
      <c r="D21" s="14"/>
    </row>
    <row r="22" spans="2:10" ht="28.5" customHeight="1" x14ac:dyDescent="0.3">
      <c r="B22" s="16"/>
      <c r="C22" s="15"/>
      <c r="D22" s="11"/>
      <c r="E22" s="10"/>
      <c r="F22" s="62" t="s">
        <v>27</v>
      </c>
      <c r="G22" s="62"/>
      <c r="H22" s="62"/>
      <c r="I22" s="6"/>
      <c r="J22" s="5">
        <v>46143</v>
      </c>
    </row>
    <row r="23" spans="2:10" x14ac:dyDescent="0.25">
      <c r="D23" s="9"/>
      <c r="F23" s="4" t="s">
        <v>5</v>
      </c>
      <c r="G23" s="3"/>
      <c r="J23" s="2" t="s">
        <v>3</v>
      </c>
    </row>
    <row r="24" spans="2:10" ht="21" customHeight="1" x14ac:dyDescent="0.25">
      <c r="B24" s="8"/>
      <c r="C24" s="7"/>
      <c r="F24" s="62" t="s">
        <v>30</v>
      </c>
      <c r="G24" s="62"/>
      <c r="H24" s="62"/>
      <c r="I24" s="6"/>
      <c r="J24" s="5"/>
    </row>
    <row r="25" spans="2:10" x14ac:dyDescent="0.25">
      <c r="F25" s="4" t="s">
        <v>4</v>
      </c>
      <c r="G25" s="3"/>
      <c r="J25" s="2" t="s">
        <v>3</v>
      </c>
    </row>
  </sheetData>
  <sheetProtection selectLockedCells="1" selectUnlockedCells="1"/>
  <mergeCells count="14">
    <mergeCell ref="F22:H22"/>
    <mergeCell ref="F24:H24"/>
    <mergeCell ref="D7:E7"/>
    <mergeCell ref="I7:J7"/>
    <mergeCell ref="D8:E8"/>
    <mergeCell ref="I8:J8"/>
    <mergeCell ref="D9:E9"/>
    <mergeCell ref="I9:J9"/>
    <mergeCell ref="B2:E2"/>
    <mergeCell ref="B4:E4"/>
    <mergeCell ref="I4:J4"/>
    <mergeCell ref="B5:E5"/>
    <mergeCell ref="B6:E6"/>
    <mergeCell ref="I6:J6"/>
  </mergeCells>
  <dataValidations count="1">
    <dataValidation type="time" allowBlank="1" showErrorMessage="1" errorTitle="Invalid Entry" error="Please enter time in military time format between 0:00 and 23:59 (1:00, 8:00, 13:00, 20:00, etc.)." sqref="D11:E17" xr:uid="{00000000-0002-0000-0400-000000000000}">
      <formula1>0</formula1>
      <formula2>0.999305555555556</formula2>
    </dataValidation>
  </dataValidations>
  <hyperlinks>
    <hyperlink ref="B8" r:id="rId1" xr:uid="{00000000-0004-0000-0400-000000000000}"/>
    <hyperlink ref="I7" r:id="rId2" xr:uid="{00000000-0004-0000-0400-000001000000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E6E9D-4B16-4A74-A96D-97CFC8A59C48}">
  <sheetPr>
    <tabColor indexed="55"/>
    <pageSetUpPr fitToPage="1"/>
  </sheetPr>
  <dimension ref="B1:J25"/>
  <sheetViews>
    <sheetView showGridLines="0" showZeros="0" topLeftCell="A3" zoomScaleNormal="100" workbookViewId="0">
      <selection activeCell="J22" sqref="J22"/>
    </sheetView>
  </sheetViews>
  <sheetFormatPr defaultColWidth="9.08984375" defaultRowHeight="12.5" x14ac:dyDescent="0.25"/>
  <cols>
    <col min="1" max="1" width="2.08984375" style="1" customWidth="1"/>
    <col min="2" max="2" width="14.6328125" style="1" customWidth="1"/>
    <col min="3" max="3" width="13.6328125" style="1" customWidth="1"/>
    <col min="4" max="5" width="12.453125" style="1" customWidth="1"/>
    <col min="6" max="6" width="12.36328125" style="1" customWidth="1"/>
    <col min="7" max="9" width="12.453125" style="1" customWidth="1"/>
    <col min="10" max="10" width="12.54296875" style="1" customWidth="1"/>
    <col min="11" max="16384" width="9.08984375" style="1"/>
  </cols>
  <sheetData>
    <row r="1" spans="2:10" ht="34.5" customHeight="1" x14ac:dyDescent="0.5">
      <c r="J1" s="50" t="s">
        <v>25</v>
      </c>
    </row>
    <row r="2" spans="2:10" ht="31.5" customHeight="1" x14ac:dyDescent="0.25">
      <c r="B2" s="68"/>
      <c r="C2" s="68"/>
      <c r="D2" s="68"/>
      <c r="E2" s="68"/>
      <c r="F2" s="49"/>
    </row>
    <row r="3" spans="2:10" ht="14.25" customHeight="1" x14ac:dyDescent="0.25"/>
    <row r="4" spans="2:10" ht="17.149999999999999" customHeight="1" x14ac:dyDescent="0.25">
      <c r="B4" s="69" t="s">
        <v>24</v>
      </c>
      <c r="C4" s="69"/>
      <c r="D4" s="69"/>
      <c r="E4" s="69"/>
      <c r="H4" s="48" t="s">
        <v>0</v>
      </c>
      <c r="I4" s="70">
        <f>C17</f>
        <v>46138</v>
      </c>
      <c r="J4" s="70"/>
    </row>
    <row r="5" spans="2:10" ht="17.149999999999999" customHeight="1" x14ac:dyDescent="0.25">
      <c r="B5" s="69" t="s">
        <v>23</v>
      </c>
      <c r="C5" s="69"/>
      <c r="D5" s="69"/>
      <c r="E5" s="69"/>
      <c r="H5" s="47"/>
      <c r="I5" s="20"/>
      <c r="J5" s="20"/>
    </row>
    <row r="6" spans="2:10" ht="17.149999999999999" customHeight="1" x14ac:dyDescent="0.25">
      <c r="B6" s="69"/>
      <c r="C6" s="69"/>
      <c r="D6" s="69"/>
      <c r="E6" s="69"/>
      <c r="H6" s="43"/>
      <c r="I6" s="63" t="s">
        <v>27</v>
      </c>
      <c r="J6" s="63"/>
    </row>
    <row r="7" spans="2:10" ht="17.149999999999999" customHeight="1" x14ac:dyDescent="0.25">
      <c r="B7" s="44" t="s">
        <v>22</v>
      </c>
      <c r="C7" s="44" t="s">
        <v>26</v>
      </c>
      <c r="D7" s="63"/>
      <c r="E7" s="63"/>
      <c r="H7" s="43"/>
      <c r="I7" s="64" t="s">
        <v>28</v>
      </c>
      <c r="J7" s="63"/>
    </row>
    <row r="8" spans="2:10" ht="17.149999999999999" customHeight="1" x14ac:dyDescent="0.25">
      <c r="B8" s="46" t="s">
        <v>21</v>
      </c>
      <c r="C8" s="45"/>
      <c r="D8" s="63"/>
      <c r="E8" s="63"/>
      <c r="H8" s="43"/>
      <c r="I8" s="65" t="s">
        <v>29</v>
      </c>
      <c r="J8" s="65"/>
    </row>
    <row r="9" spans="2:10" ht="17.149999999999999" customHeight="1" x14ac:dyDescent="0.25">
      <c r="B9" s="44"/>
      <c r="C9" s="44"/>
      <c r="D9" s="63"/>
      <c r="E9" s="63"/>
      <c r="H9" s="43"/>
      <c r="I9" s="66"/>
      <c r="J9" s="67"/>
    </row>
    <row r="10" spans="2:10" ht="40.5" customHeight="1" x14ac:dyDescent="0.25">
      <c r="B10" s="42" t="s">
        <v>20</v>
      </c>
      <c r="C10" s="42" t="s">
        <v>3</v>
      </c>
      <c r="D10" s="42" t="s">
        <v>19</v>
      </c>
      <c r="E10" s="42" t="s">
        <v>18</v>
      </c>
      <c r="F10" s="41" t="s">
        <v>17</v>
      </c>
      <c r="G10" s="40" t="s">
        <v>16</v>
      </c>
      <c r="H10" s="40" t="s">
        <v>15</v>
      </c>
      <c r="I10" s="40" t="s">
        <v>14</v>
      </c>
      <c r="J10" s="56" t="s">
        <v>6</v>
      </c>
    </row>
    <row r="11" spans="2:10" ht="21" customHeight="1" x14ac:dyDescent="0.25">
      <c r="B11" s="27" t="s">
        <v>13</v>
      </c>
      <c r="C11" s="35">
        <v>46132</v>
      </c>
      <c r="D11" s="34">
        <v>0.3125</v>
      </c>
      <c r="E11" s="34">
        <v>0.66666666666666663</v>
      </c>
      <c r="F11" s="33">
        <v>2.0833333333333332E-2</v>
      </c>
      <c r="G11" s="32">
        <f>((E11-D11)-F11)*24</f>
        <v>8</v>
      </c>
      <c r="H11" s="31"/>
      <c r="I11" s="30"/>
      <c r="J11" s="58">
        <f t="shared" ref="J11:J17" si="0">SUM(G11:I11)</f>
        <v>8</v>
      </c>
    </row>
    <row r="12" spans="2:10" ht="21" customHeight="1" x14ac:dyDescent="0.25">
      <c r="B12" s="27" t="s">
        <v>12</v>
      </c>
      <c r="C12" s="35">
        <f t="shared" ref="C12:C17" si="1">C11+1</f>
        <v>46133</v>
      </c>
      <c r="D12" s="34">
        <v>0.3125</v>
      </c>
      <c r="E12" s="34">
        <v>0.66666666666666663</v>
      </c>
      <c r="F12" s="33">
        <v>2.0833333333333332E-2</v>
      </c>
      <c r="G12" s="32">
        <f>((E12-D12)-F12)*24</f>
        <v>8</v>
      </c>
      <c r="H12" s="31"/>
      <c r="I12" s="30"/>
      <c r="J12" s="59">
        <f t="shared" si="0"/>
        <v>8</v>
      </c>
    </row>
    <row r="13" spans="2:10" ht="21" customHeight="1" x14ac:dyDescent="0.25">
      <c r="B13" s="27" t="s">
        <v>11</v>
      </c>
      <c r="C13" s="35">
        <f t="shared" si="1"/>
        <v>46134</v>
      </c>
      <c r="D13" s="34">
        <v>0.33333333333333331</v>
      </c>
      <c r="E13" s="34">
        <v>0.66666666666666663</v>
      </c>
      <c r="F13" s="33"/>
      <c r="G13" s="32">
        <f>((E13-D13)-F13)*24</f>
        <v>8</v>
      </c>
      <c r="H13" s="31"/>
      <c r="I13" s="30"/>
      <c r="J13" s="59">
        <f t="shared" si="0"/>
        <v>8</v>
      </c>
    </row>
    <row r="14" spans="2:10" ht="21" customHeight="1" x14ac:dyDescent="0.25">
      <c r="B14" s="38" t="s">
        <v>10</v>
      </c>
      <c r="C14" s="37">
        <f t="shared" si="1"/>
        <v>46135</v>
      </c>
      <c r="D14" s="34">
        <v>0.33333333333333331</v>
      </c>
      <c r="E14" s="34">
        <v>0.66666666666666663</v>
      </c>
      <c r="F14" s="33"/>
      <c r="G14" s="32">
        <f>((E14-D14)-F14)*24</f>
        <v>8</v>
      </c>
      <c r="H14" s="31"/>
      <c r="I14" s="36"/>
      <c r="J14" s="59">
        <f t="shared" si="0"/>
        <v>8</v>
      </c>
    </row>
    <row r="15" spans="2:10" ht="21" customHeight="1" x14ac:dyDescent="0.25">
      <c r="B15" s="27" t="s">
        <v>9</v>
      </c>
      <c r="C15" s="35">
        <f t="shared" si="1"/>
        <v>46136</v>
      </c>
      <c r="D15" s="34">
        <v>0.3125</v>
      </c>
      <c r="E15" s="34">
        <v>0.66666666666666663</v>
      </c>
      <c r="F15" s="33">
        <v>2.0833333333333332E-2</v>
      </c>
      <c r="G15" s="32">
        <f>((E15-D15)-F15)*24</f>
        <v>8</v>
      </c>
      <c r="H15" s="31"/>
      <c r="I15" s="30"/>
      <c r="J15" s="59">
        <f t="shared" si="0"/>
        <v>8</v>
      </c>
    </row>
    <row r="16" spans="2:10" ht="21" customHeight="1" x14ac:dyDescent="0.25">
      <c r="B16" s="27" t="s">
        <v>8</v>
      </c>
      <c r="C16" s="35">
        <f t="shared" si="1"/>
        <v>46137</v>
      </c>
      <c r="D16" s="34"/>
      <c r="E16" s="34"/>
      <c r="F16" s="33"/>
      <c r="G16" s="32"/>
      <c r="H16" s="31"/>
      <c r="I16" s="30"/>
      <c r="J16" s="59">
        <f>SUM(G16:I16)</f>
        <v>0</v>
      </c>
    </row>
    <row r="17" spans="2:10" ht="21" customHeight="1" x14ac:dyDescent="0.25">
      <c r="B17" s="27" t="s">
        <v>7</v>
      </c>
      <c r="C17" s="35">
        <f t="shared" si="1"/>
        <v>46138</v>
      </c>
      <c r="D17" s="34"/>
      <c r="E17" s="34"/>
      <c r="F17" s="33"/>
      <c r="H17" s="31"/>
      <c r="I17" s="30"/>
      <c r="J17" s="59">
        <f t="shared" si="0"/>
        <v>0</v>
      </c>
    </row>
    <row r="18" spans="2:10" ht="21" customHeight="1" x14ac:dyDescent="0.25">
      <c r="B18" s="29"/>
      <c r="C18" s="28"/>
      <c r="D18" s="7"/>
      <c r="F18" s="27" t="s">
        <v>6</v>
      </c>
      <c r="G18" s="26">
        <f>SUM(G11:G16)</f>
        <v>40</v>
      </c>
      <c r="H18" s="25">
        <f>SUM(H11:H17)</f>
        <v>0</v>
      </c>
      <c r="I18" s="24">
        <f>SUM(I11:I17)</f>
        <v>0</v>
      </c>
      <c r="J18" s="57">
        <f>SUM(J11:J17)</f>
        <v>40</v>
      </c>
    </row>
    <row r="19" spans="2:10" ht="21" hidden="1" customHeight="1" x14ac:dyDescent="0.3">
      <c r="B19" s="10"/>
      <c r="C19" s="10"/>
      <c r="E19" s="10"/>
      <c r="F19" s="19"/>
      <c r="G19" s="23"/>
      <c r="H19" s="23"/>
      <c r="I19" s="22"/>
      <c r="J19" s="21"/>
    </row>
    <row r="20" spans="2:10" ht="21" hidden="1" customHeight="1" x14ac:dyDescent="0.25">
      <c r="C20" s="20"/>
      <c r="F20" s="19"/>
      <c r="G20" s="18"/>
      <c r="H20" s="18"/>
      <c r="I20" s="18"/>
      <c r="J20" s="17"/>
    </row>
    <row r="21" spans="2:10" x14ac:dyDescent="0.25">
      <c r="B21" s="16"/>
      <c r="C21" s="15"/>
      <c r="D21" s="14"/>
    </row>
    <row r="22" spans="2:10" ht="28.5" customHeight="1" x14ac:dyDescent="0.3">
      <c r="B22" s="13"/>
      <c r="C22" s="12"/>
      <c r="D22" s="11"/>
      <c r="E22" s="10"/>
      <c r="F22" s="62" t="s">
        <v>27</v>
      </c>
      <c r="G22" s="62"/>
      <c r="H22" s="62"/>
      <c r="I22" s="6"/>
      <c r="J22" s="5">
        <v>46143</v>
      </c>
    </row>
    <row r="23" spans="2:10" x14ac:dyDescent="0.25">
      <c r="D23" s="9"/>
      <c r="F23" s="4" t="s">
        <v>5</v>
      </c>
      <c r="G23" s="3"/>
      <c r="J23" s="2" t="s">
        <v>3</v>
      </c>
    </row>
    <row r="24" spans="2:10" ht="21" customHeight="1" x14ac:dyDescent="0.25">
      <c r="B24" s="8"/>
      <c r="C24" s="7"/>
      <c r="F24" s="62" t="s">
        <v>30</v>
      </c>
      <c r="G24" s="62"/>
      <c r="H24" s="62"/>
      <c r="I24" s="6"/>
      <c r="J24" s="5"/>
    </row>
    <row r="25" spans="2:10" x14ac:dyDescent="0.25">
      <c r="F25" s="4" t="s">
        <v>4</v>
      </c>
      <c r="G25" s="3"/>
      <c r="J25" s="2" t="s">
        <v>3</v>
      </c>
    </row>
  </sheetData>
  <sheetProtection selectLockedCells="1" selectUnlockedCells="1"/>
  <mergeCells count="14">
    <mergeCell ref="B2:E2"/>
    <mergeCell ref="B4:E4"/>
    <mergeCell ref="I4:J4"/>
    <mergeCell ref="B5:E5"/>
    <mergeCell ref="B6:E6"/>
    <mergeCell ref="I6:J6"/>
    <mergeCell ref="F22:H22"/>
    <mergeCell ref="F24:H24"/>
    <mergeCell ref="D7:E7"/>
    <mergeCell ref="I7:J7"/>
    <mergeCell ref="D8:E8"/>
    <mergeCell ref="I8:J8"/>
    <mergeCell ref="D9:E9"/>
    <mergeCell ref="I9:J9"/>
  </mergeCells>
  <dataValidations count="1">
    <dataValidation type="time" allowBlank="1" showErrorMessage="1" errorTitle="Invalid Entry" error="Please enter time in military time format between 0:00 and 23:59 (1:00, 8:00, 13:00, 20:00, etc.)." sqref="D11:E17" xr:uid="{FAF35A68-37E4-45DF-B33B-ADC4E4259E45}">
      <formula1>0</formula1>
      <formula2>0.999305555555556</formula2>
    </dataValidation>
  </dataValidations>
  <hyperlinks>
    <hyperlink ref="B8" r:id="rId1" xr:uid="{9B04E617-471F-4990-BFE7-32C96779FDCE}"/>
    <hyperlink ref="I7" r:id="rId2" xr:uid="{EA905E4D-F916-4632-B8DC-3920EA2DD07E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55"/>
    <pageSetUpPr fitToPage="1"/>
  </sheetPr>
  <dimension ref="B1:J25"/>
  <sheetViews>
    <sheetView showGridLines="0" showZeros="0" topLeftCell="A6" zoomScaleNormal="100" workbookViewId="0">
      <selection activeCell="J22" sqref="J22"/>
    </sheetView>
  </sheetViews>
  <sheetFormatPr defaultColWidth="9.08984375" defaultRowHeight="12.5" x14ac:dyDescent="0.25"/>
  <cols>
    <col min="1" max="1" width="2.08984375" style="1" customWidth="1"/>
    <col min="2" max="2" width="14.6328125" style="1" customWidth="1"/>
    <col min="3" max="3" width="13.6328125" style="1" customWidth="1"/>
    <col min="4" max="5" width="12.453125" style="1" customWidth="1"/>
    <col min="6" max="6" width="12.36328125" style="1" customWidth="1"/>
    <col min="7" max="9" width="12.453125" style="1" customWidth="1"/>
    <col min="10" max="10" width="12.54296875" style="1" customWidth="1"/>
    <col min="11" max="16384" width="9.08984375" style="1"/>
  </cols>
  <sheetData>
    <row r="1" spans="2:10" ht="34.5" customHeight="1" x14ac:dyDescent="0.5">
      <c r="J1" s="50" t="s">
        <v>25</v>
      </c>
    </row>
    <row r="2" spans="2:10" ht="31.5" customHeight="1" x14ac:dyDescent="0.25">
      <c r="B2" s="68"/>
      <c r="C2" s="68"/>
      <c r="D2" s="68"/>
      <c r="E2" s="68"/>
      <c r="F2" s="49"/>
    </row>
    <row r="3" spans="2:10" ht="14.25" customHeight="1" x14ac:dyDescent="0.25"/>
    <row r="4" spans="2:10" ht="17.149999999999999" customHeight="1" x14ac:dyDescent="0.25">
      <c r="B4" s="69" t="s">
        <v>24</v>
      </c>
      <c r="C4" s="69"/>
      <c r="D4" s="69"/>
      <c r="E4" s="69"/>
      <c r="H4" s="48" t="s">
        <v>0</v>
      </c>
      <c r="I4" s="70">
        <f>C17</f>
        <v>46145</v>
      </c>
      <c r="J4" s="70"/>
    </row>
    <row r="5" spans="2:10" ht="17.149999999999999" customHeight="1" x14ac:dyDescent="0.25">
      <c r="B5" s="69" t="s">
        <v>23</v>
      </c>
      <c r="C5" s="69"/>
      <c r="D5" s="69"/>
      <c r="E5" s="69"/>
      <c r="H5" s="47"/>
      <c r="I5" s="20"/>
      <c r="J5" s="20"/>
    </row>
    <row r="6" spans="2:10" ht="17.149999999999999" customHeight="1" x14ac:dyDescent="0.25">
      <c r="B6" s="69"/>
      <c r="C6" s="69"/>
      <c r="D6" s="69"/>
      <c r="E6" s="69"/>
      <c r="H6" s="43"/>
      <c r="I6" s="63" t="s">
        <v>27</v>
      </c>
      <c r="J6" s="63"/>
    </row>
    <row r="7" spans="2:10" ht="17.149999999999999" customHeight="1" x14ac:dyDescent="0.25">
      <c r="B7" s="44" t="s">
        <v>22</v>
      </c>
      <c r="C7" s="44" t="s">
        <v>26</v>
      </c>
      <c r="D7" s="63"/>
      <c r="E7" s="63"/>
      <c r="H7" s="43"/>
      <c r="I7" s="64" t="s">
        <v>28</v>
      </c>
      <c r="J7" s="63"/>
    </row>
    <row r="8" spans="2:10" ht="17.149999999999999" customHeight="1" x14ac:dyDescent="0.25">
      <c r="B8" s="46" t="s">
        <v>21</v>
      </c>
      <c r="C8" s="45"/>
      <c r="D8" s="63"/>
      <c r="E8" s="63"/>
      <c r="H8" s="43"/>
      <c r="I8" s="65" t="s">
        <v>29</v>
      </c>
      <c r="J8" s="65"/>
    </row>
    <row r="9" spans="2:10" ht="17.149999999999999" customHeight="1" x14ac:dyDescent="0.25">
      <c r="B9" s="44"/>
      <c r="C9" s="44"/>
      <c r="D9" s="63"/>
      <c r="E9" s="63"/>
      <c r="H9" s="43"/>
      <c r="I9" s="66"/>
      <c r="J9" s="67"/>
    </row>
    <row r="10" spans="2:10" ht="40.5" customHeight="1" x14ac:dyDescent="0.25">
      <c r="B10" s="42" t="s">
        <v>20</v>
      </c>
      <c r="C10" s="42" t="s">
        <v>3</v>
      </c>
      <c r="D10" s="42" t="s">
        <v>19</v>
      </c>
      <c r="E10" s="42" t="s">
        <v>18</v>
      </c>
      <c r="F10" s="41" t="s">
        <v>17</v>
      </c>
      <c r="G10" s="40" t="s">
        <v>16</v>
      </c>
      <c r="H10" s="40" t="s">
        <v>15</v>
      </c>
      <c r="I10" s="40" t="s">
        <v>14</v>
      </c>
      <c r="J10" s="56" t="s">
        <v>6</v>
      </c>
    </row>
    <row r="11" spans="2:10" ht="21" customHeight="1" x14ac:dyDescent="0.25">
      <c r="B11" s="27" t="s">
        <v>13</v>
      </c>
      <c r="C11" s="35">
        <v>46139</v>
      </c>
      <c r="D11" s="34">
        <v>0.3125</v>
      </c>
      <c r="E11" s="34">
        <v>0.66666666666666663</v>
      </c>
      <c r="F11" s="33">
        <v>2.0833333333333332E-2</v>
      </c>
      <c r="G11" s="32">
        <f>((E11-D11)-F11)*24</f>
        <v>8</v>
      </c>
      <c r="H11" s="31"/>
      <c r="I11" s="30"/>
      <c r="J11" s="58">
        <f t="shared" ref="J11:J17" si="0">SUM(G11:I11)</f>
        <v>8</v>
      </c>
    </row>
    <row r="12" spans="2:10" ht="21" customHeight="1" x14ac:dyDescent="0.25">
      <c r="B12" s="27" t="s">
        <v>12</v>
      </c>
      <c r="C12" s="35">
        <f t="shared" ref="C12:C17" si="1">C11+1</f>
        <v>46140</v>
      </c>
      <c r="D12" s="34">
        <v>0.3125</v>
      </c>
      <c r="E12" s="34">
        <v>0.66666666666666663</v>
      </c>
      <c r="F12" s="33">
        <v>2.0833333333333332E-2</v>
      </c>
      <c r="G12" s="32">
        <f>((E12-D12)-F12)*24</f>
        <v>8</v>
      </c>
      <c r="H12" s="31"/>
      <c r="I12" s="30"/>
      <c r="J12" s="59">
        <f t="shared" si="0"/>
        <v>8</v>
      </c>
    </row>
    <row r="13" spans="2:10" ht="21" customHeight="1" x14ac:dyDescent="0.25">
      <c r="B13" s="27" t="s">
        <v>11</v>
      </c>
      <c r="C13" s="35">
        <f t="shared" si="1"/>
        <v>46141</v>
      </c>
      <c r="D13" s="34">
        <v>0.33333333333333331</v>
      </c>
      <c r="E13" s="34">
        <v>0.66666666666666663</v>
      </c>
      <c r="F13" s="33"/>
      <c r="G13" s="32">
        <f>((E13-D13)-F13)*24</f>
        <v>8</v>
      </c>
      <c r="H13" s="31"/>
      <c r="I13" s="30"/>
      <c r="J13" s="59">
        <f t="shared" si="0"/>
        <v>8</v>
      </c>
    </row>
    <row r="14" spans="2:10" ht="21" customHeight="1" x14ac:dyDescent="0.25">
      <c r="B14" s="38" t="s">
        <v>10</v>
      </c>
      <c r="C14" s="37">
        <f t="shared" si="1"/>
        <v>46142</v>
      </c>
      <c r="D14" s="34">
        <v>0.33333333333333331</v>
      </c>
      <c r="E14" s="34">
        <v>0.66666666666666663</v>
      </c>
      <c r="F14" s="33"/>
      <c r="G14" s="32">
        <f>((E14-D14)-F14)*24</f>
        <v>8</v>
      </c>
      <c r="H14" s="31"/>
      <c r="I14" s="36"/>
      <c r="J14" s="59">
        <f t="shared" si="0"/>
        <v>8</v>
      </c>
    </row>
    <row r="15" spans="2:10" ht="21" customHeight="1" x14ac:dyDescent="0.25">
      <c r="B15" s="27" t="s">
        <v>9</v>
      </c>
      <c r="C15" s="35">
        <f t="shared" si="1"/>
        <v>46143</v>
      </c>
      <c r="D15" s="34"/>
      <c r="E15" s="34"/>
      <c r="F15" s="33"/>
      <c r="G15" s="32"/>
      <c r="H15" s="31"/>
      <c r="I15" s="30"/>
      <c r="J15" s="59">
        <f t="shared" si="0"/>
        <v>0</v>
      </c>
    </row>
    <row r="16" spans="2:10" ht="21" customHeight="1" x14ac:dyDescent="0.25">
      <c r="B16" s="27" t="s">
        <v>8</v>
      </c>
      <c r="C16" s="35">
        <f t="shared" si="1"/>
        <v>46144</v>
      </c>
      <c r="D16" s="34"/>
      <c r="E16" s="34"/>
      <c r="F16" s="33"/>
      <c r="G16" s="32"/>
      <c r="H16" s="31"/>
      <c r="I16" s="30"/>
      <c r="J16" s="59">
        <f>SUM(G16:I16)</f>
        <v>0</v>
      </c>
    </row>
    <row r="17" spans="2:10" ht="21" customHeight="1" x14ac:dyDescent="0.25">
      <c r="B17" s="27" t="s">
        <v>7</v>
      </c>
      <c r="C17" s="35">
        <f t="shared" si="1"/>
        <v>46145</v>
      </c>
      <c r="D17" s="34"/>
      <c r="E17" s="34"/>
      <c r="F17" s="33"/>
      <c r="H17" s="31"/>
      <c r="I17" s="30"/>
      <c r="J17" s="59">
        <f t="shared" si="0"/>
        <v>0</v>
      </c>
    </row>
    <row r="18" spans="2:10" ht="21" customHeight="1" x14ac:dyDescent="0.25">
      <c r="B18" s="29"/>
      <c r="C18" s="28"/>
      <c r="D18" s="7"/>
      <c r="F18" s="27" t="s">
        <v>6</v>
      </c>
      <c r="G18" s="26">
        <f>SUM(G11:G16)</f>
        <v>32</v>
      </c>
      <c r="H18" s="25">
        <f>SUM(H11:H17)</f>
        <v>0</v>
      </c>
      <c r="I18" s="24">
        <f>SUM(I11:I17)</f>
        <v>0</v>
      </c>
      <c r="J18" s="57">
        <f>SUM(J11:J17)</f>
        <v>32</v>
      </c>
    </row>
    <row r="19" spans="2:10" ht="21" hidden="1" customHeight="1" x14ac:dyDescent="0.3">
      <c r="B19" s="10"/>
      <c r="C19" s="10"/>
      <c r="E19" s="10"/>
      <c r="F19" s="19"/>
      <c r="G19" s="23"/>
      <c r="H19" s="23"/>
      <c r="I19" s="22"/>
      <c r="J19" s="21"/>
    </row>
    <row r="20" spans="2:10" ht="21" hidden="1" customHeight="1" x14ac:dyDescent="0.25">
      <c r="C20" s="20"/>
      <c r="F20" s="19"/>
      <c r="G20" s="18"/>
      <c r="H20" s="18"/>
      <c r="I20" s="18"/>
      <c r="J20" s="17"/>
    </row>
    <row r="21" spans="2:10" x14ac:dyDescent="0.25">
      <c r="B21" s="16"/>
      <c r="C21" s="15"/>
      <c r="D21" s="14"/>
    </row>
    <row r="22" spans="2:10" ht="28.5" customHeight="1" x14ac:dyDescent="0.3">
      <c r="B22" s="13"/>
      <c r="C22" s="12"/>
      <c r="D22" s="11"/>
      <c r="E22" s="10"/>
      <c r="F22" s="62" t="s">
        <v>27</v>
      </c>
      <c r="G22" s="62"/>
      <c r="H22" s="62"/>
      <c r="I22" s="6"/>
      <c r="J22" s="5">
        <v>46143</v>
      </c>
    </row>
    <row r="23" spans="2:10" x14ac:dyDescent="0.25">
      <c r="D23" s="9"/>
      <c r="F23" s="4" t="s">
        <v>5</v>
      </c>
      <c r="G23" s="3"/>
      <c r="J23" s="2" t="s">
        <v>3</v>
      </c>
    </row>
    <row r="24" spans="2:10" ht="21" customHeight="1" x14ac:dyDescent="0.25">
      <c r="B24" s="8"/>
      <c r="C24" s="7"/>
      <c r="F24" s="62" t="s">
        <v>30</v>
      </c>
      <c r="G24" s="62"/>
      <c r="H24" s="62"/>
      <c r="I24" s="6"/>
      <c r="J24" s="5"/>
    </row>
    <row r="25" spans="2:10" x14ac:dyDescent="0.25">
      <c r="F25" s="4" t="s">
        <v>4</v>
      </c>
      <c r="G25" s="3"/>
      <c r="J25" s="2" t="s">
        <v>3</v>
      </c>
    </row>
  </sheetData>
  <sheetProtection selectLockedCells="1" selectUnlockedCells="1"/>
  <mergeCells count="14">
    <mergeCell ref="B2:E2"/>
    <mergeCell ref="B4:E4"/>
    <mergeCell ref="I4:J4"/>
    <mergeCell ref="B5:E5"/>
    <mergeCell ref="B6:E6"/>
    <mergeCell ref="I6:J6"/>
    <mergeCell ref="F22:H22"/>
    <mergeCell ref="F24:H24"/>
    <mergeCell ref="D7:E7"/>
    <mergeCell ref="I7:J7"/>
    <mergeCell ref="D8:E8"/>
    <mergeCell ref="I8:J8"/>
    <mergeCell ref="D9:E9"/>
    <mergeCell ref="I9:J9"/>
  </mergeCells>
  <dataValidations count="1">
    <dataValidation type="time" allowBlank="1" showErrorMessage="1" errorTitle="Invalid Entry" error="Please enter time in military time format between 0:00 and 23:59 (1:00, 8:00, 13:00, 20:00, etc.)." sqref="D11:E17" xr:uid="{00000000-0002-0000-0100-000000000000}">
      <formula1>0</formula1>
      <formula2>0.999305555555556</formula2>
    </dataValidation>
  </dataValidations>
  <hyperlinks>
    <hyperlink ref="B8" r:id="rId1" xr:uid="{00000000-0004-0000-0100-000000000000}"/>
    <hyperlink ref="I7" r:id="rId2" xr:uid="{00000000-0004-0000-0100-000001000000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60e43a5-b5f7-46bd-adb4-aea55043276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3D8239B665804E9AB6095B7711D0A0" ma:contentTypeVersion="10" ma:contentTypeDescription="Create a new document." ma:contentTypeScope="" ma:versionID="8320ea16a0c7fa1794ee3b0baacffeef">
  <xsd:schema xmlns:xsd="http://www.w3.org/2001/XMLSchema" xmlns:xs="http://www.w3.org/2001/XMLSchema" xmlns:p="http://schemas.microsoft.com/office/2006/metadata/properties" xmlns:ns3="260e43a5-b5f7-46bd-adb4-aea550432768" xmlns:ns4="019c7d70-4afa-4674-a293-bd8d4e681b26" targetNamespace="http://schemas.microsoft.com/office/2006/metadata/properties" ma:root="true" ma:fieldsID="689cd5dd7f378086f389e78ca7d538ef" ns3:_="" ns4:_="">
    <xsd:import namespace="260e43a5-b5f7-46bd-adb4-aea550432768"/>
    <xsd:import namespace="019c7d70-4afa-4674-a293-bd8d4e681b2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0e43a5-b5f7-46bd-adb4-aea5504327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c7d70-4afa-4674-a293-bd8d4e681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6C13F7-4DD5-40FD-856A-2804B3E73A54}">
  <ds:schemaRefs>
    <ds:schemaRef ds:uri="http://www.w3.org/XML/1998/namespace"/>
    <ds:schemaRef ds:uri="http://schemas.microsoft.com/office/2006/metadata/properties"/>
    <ds:schemaRef ds:uri="260e43a5-b5f7-46bd-adb4-aea550432768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019c7d70-4afa-4674-a293-bd8d4e681b26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86BAA43-F24E-440A-A6EC-3C0B3C40C4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0e43a5-b5f7-46bd-adb4-aea550432768"/>
    <ds:schemaRef ds:uri="019c7d70-4afa-4674-a293-bd8d4e681b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449C8D-17A3-45C7-873A-02A8A6F355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Totals</vt:lpstr>
      <vt:lpstr>we 04-05</vt:lpstr>
      <vt:lpstr>we 04-12</vt:lpstr>
      <vt:lpstr>we 04-19</vt:lpstr>
      <vt:lpstr>we 04-26</vt:lpstr>
      <vt:lpstr>we 05-03</vt:lpstr>
      <vt:lpstr>'we 04-05'!Print_Area</vt:lpstr>
      <vt:lpstr>'we 04-12'!Print_Area</vt:lpstr>
      <vt:lpstr>'we 04-19'!Print_Area</vt:lpstr>
      <vt:lpstr>'we 04-26'!Print_Area</vt:lpstr>
      <vt:lpstr>'we 05-03'!Print_Area</vt:lpstr>
    </vt:vector>
  </TitlesOfParts>
  <Company>Howard County Public School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Sivasubramanian Selvaraj</dc:creator>
  <cp:lastModifiedBy>Sivasubramanian Selvaraj</cp:lastModifiedBy>
  <dcterms:created xsi:type="dcterms:W3CDTF">2023-03-31T17:05:30Z</dcterms:created>
  <dcterms:modified xsi:type="dcterms:W3CDTF">2026-05-01T15:32:46Z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0x010100EE3D8239B665804E9AB6095B7711D0A0</vt:lpwstr>
  </property>
</Properties>
</file>